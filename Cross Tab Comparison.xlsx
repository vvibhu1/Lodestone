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bhuverma/Desktop/Assesment LS/"/>
    </mc:Choice>
  </mc:AlternateContent>
  <xr:revisionPtr revIDLastSave="0" documentId="13_ncr:1_{46744AF3-60D4-154E-914E-5BFBAA0025EA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Taste Test" sheetId="1" r:id="rId1"/>
    <sheet name="Co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B12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V9" i="1"/>
  <c r="U9" i="1"/>
  <c r="AF5" i="1"/>
  <c r="AE5" i="1"/>
  <c r="AD5" i="1"/>
  <c r="AC5" i="1"/>
  <c r="AB5" i="1"/>
  <c r="AA5" i="1"/>
  <c r="Z5" i="1"/>
  <c r="Y5" i="1"/>
  <c r="X5" i="1"/>
  <c r="W5" i="1"/>
  <c r="V5" i="1"/>
  <c r="U5" i="1"/>
  <c r="G7" i="1"/>
  <c r="G9" i="1"/>
  <c r="G11" i="1"/>
  <c r="G13" i="1"/>
  <c r="G15" i="1"/>
  <c r="G17" i="1"/>
  <c r="G19" i="1"/>
  <c r="G21" i="1"/>
  <c r="G23" i="1"/>
  <c r="G25" i="1"/>
  <c r="G27" i="1"/>
  <c r="G29" i="1"/>
  <c r="G31" i="1"/>
  <c r="G33" i="1"/>
  <c r="G5" i="1"/>
  <c r="D25" i="1"/>
  <c r="D7" i="1"/>
  <c r="D9" i="1"/>
  <c r="D11" i="1"/>
  <c r="D13" i="1"/>
  <c r="D15" i="1"/>
  <c r="D17" i="1"/>
  <c r="D19" i="1"/>
  <c r="D21" i="1"/>
  <c r="D23" i="1"/>
  <c r="D27" i="1"/>
  <c r="D29" i="1"/>
  <c r="D31" i="1"/>
  <c r="D33" i="1"/>
  <c r="D5" i="1"/>
</calcChain>
</file>

<file path=xl/sharedStrings.xml><?xml version="1.0" encoding="utf-8"?>
<sst xmlns="http://schemas.openxmlformats.org/spreadsheetml/2006/main" count="125" uniqueCount="33">
  <si>
    <t>Charcoal</t>
  </si>
  <si>
    <t>Propane</t>
  </si>
  <si>
    <t>Ground Beef Patty</t>
  </si>
  <si>
    <t>Charcoal</t>
  </si>
  <si>
    <t>Propane</t>
  </si>
  <si>
    <t>Hotdog</t>
  </si>
  <si>
    <t>Charcoal</t>
  </si>
  <si>
    <t>Propane</t>
  </si>
  <si>
    <t>Veggie Patty</t>
  </si>
  <si>
    <t>False</t>
  </si>
  <si>
    <t>Charcoal</t>
  </si>
  <si>
    <t>Propane</t>
  </si>
  <si>
    <t>Ground Beef Patty</t>
  </si>
  <si>
    <t>Charcoal</t>
  </si>
  <si>
    <t>Propane</t>
  </si>
  <si>
    <t>Hotdog</t>
  </si>
  <si>
    <t>Charcoal</t>
  </si>
  <si>
    <t>Propane</t>
  </si>
  <si>
    <t>Veggie Patty</t>
  </si>
  <si>
    <t>True</t>
  </si>
  <si>
    <t>Sample Item Index</t>
  </si>
  <si>
    <t>Is Frozen  /  Item Material  /  Grill Type</t>
  </si>
  <si>
    <t>Winner</t>
  </si>
  <si>
    <t>OVERALL WINNER</t>
  </si>
  <si>
    <t>grill_type</t>
  </si>
  <si>
    <t>pre_heat_time</t>
  </si>
  <si>
    <t>fuel_cost_per_meal</t>
  </si>
  <si>
    <t>market_share</t>
  </si>
  <si>
    <t>easiness_to_use</t>
  </si>
  <si>
    <t>life_span_year</t>
  </si>
  <si>
    <t>initial_investment</t>
  </si>
  <si>
    <t>Running Cost/ Meal</t>
  </si>
  <si>
    <t>Initial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</si>
</sst>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name val="Calibri"/>
    </font>
    <font>
      <sz val="9"/>
      <color rgb="FF666666"/>
      <name val="Arial"/>
    </font>
    <font>
      <sz val="9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/>
    <xf numFmtId="0" fontId="1" fillId="0" borderId="2" xfId="0" applyNumberFormat="1" applyFont="1" applyBorder="1" applyAlignment="1">
      <alignment horizontal="left" vertical="top"/>
    </xf>
    <xf numFmtId="164" fontId="2" fillId="0" borderId="2" xfId="0" applyNumberFormat="1" applyFont="1" applyBorder="1" applyAlignment="1">
      <alignment vertical="center"/>
    </xf>
    <xf numFmtId="0" fontId="2" fillId="0" borderId="6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Cost!$B$10</c:f>
              <c:strCache>
                <c:ptCount val="1"/>
                <c:pt idx="0">
                  <c:v>Charcoal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Cost!$B$11:$B$149</c:f>
              <c:numCache>
                <c:formatCode>General</c:formatCode>
                <c:ptCount val="139"/>
                <c:pt idx="0">
                  <c:v>91</c:v>
                </c:pt>
                <c:pt idx="1">
                  <c:v>93</c:v>
                </c:pt>
                <c:pt idx="2">
                  <c:v>95</c:v>
                </c:pt>
                <c:pt idx="3">
                  <c:v>97</c:v>
                </c:pt>
                <c:pt idx="4">
                  <c:v>99</c:v>
                </c:pt>
                <c:pt idx="5">
                  <c:v>101</c:v>
                </c:pt>
                <c:pt idx="6">
                  <c:v>103</c:v>
                </c:pt>
                <c:pt idx="7">
                  <c:v>105</c:v>
                </c:pt>
                <c:pt idx="8">
                  <c:v>107</c:v>
                </c:pt>
                <c:pt idx="9">
                  <c:v>109</c:v>
                </c:pt>
                <c:pt idx="10">
                  <c:v>111</c:v>
                </c:pt>
                <c:pt idx="11">
                  <c:v>113</c:v>
                </c:pt>
                <c:pt idx="12">
                  <c:v>115</c:v>
                </c:pt>
                <c:pt idx="13">
                  <c:v>117</c:v>
                </c:pt>
                <c:pt idx="14">
                  <c:v>119</c:v>
                </c:pt>
                <c:pt idx="15">
                  <c:v>121</c:v>
                </c:pt>
                <c:pt idx="16">
                  <c:v>123</c:v>
                </c:pt>
                <c:pt idx="17">
                  <c:v>125</c:v>
                </c:pt>
                <c:pt idx="18">
                  <c:v>127</c:v>
                </c:pt>
                <c:pt idx="19">
                  <c:v>129</c:v>
                </c:pt>
                <c:pt idx="20">
                  <c:v>131</c:v>
                </c:pt>
                <c:pt idx="21">
                  <c:v>133</c:v>
                </c:pt>
                <c:pt idx="22">
                  <c:v>135</c:v>
                </c:pt>
                <c:pt idx="23">
                  <c:v>137</c:v>
                </c:pt>
                <c:pt idx="24">
                  <c:v>139</c:v>
                </c:pt>
                <c:pt idx="25">
                  <c:v>141</c:v>
                </c:pt>
                <c:pt idx="26">
                  <c:v>143</c:v>
                </c:pt>
                <c:pt idx="27">
                  <c:v>145</c:v>
                </c:pt>
                <c:pt idx="28">
                  <c:v>147</c:v>
                </c:pt>
                <c:pt idx="29">
                  <c:v>149</c:v>
                </c:pt>
                <c:pt idx="30">
                  <c:v>151</c:v>
                </c:pt>
                <c:pt idx="31">
                  <c:v>153</c:v>
                </c:pt>
                <c:pt idx="32">
                  <c:v>155</c:v>
                </c:pt>
                <c:pt idx="33">
                  <c:v>157</c:v>
                </c:pt>
                <c:pt idx="34">
                  <c:v>159</c:v>
                </c:pt>
                <c:pt idx="35">
                  <c:v>161</c:v>
                </c:pt>
                <c:pt idx="36">
                  <c:v>163</c:v>
                </c:pt>
                <c:pt idx="37">
                  <c:v>165</c:v>
                </c:pt>
                <c:pt idx="38">
                  <c:v>167</c:v>
                </c:pt>
                <c:pt idx="39">
                  <c:v>169</c:v>
                </c:pt>
                <c:pt idx="40">
                  <c:v>171</c:v>
                </c:pt>
                <c:pt idx="41">
                  <c:v>173</c:v>
                </c:pt>
                <c:pt idx="42">
                  <c:v>175</c:v>
                </c:pt>
                <c:pt idx="43">
                  <c:v>177</c:v>
                </c:pt>
                <c:pt idx="44">
                  <c:v>179</c:v>
                </c:pt>
                <c:pt idx="45">
                  <c:v>181</c:v>
                </c:pt>
                <c:pt idx="46">
                  <c:v>183</c:v>
                </c:pt>
                <c:pt idx="47">
                  <c:v>185</c:v>
                </c:pt>
                <c:pt idx="48">
                  <c:v>187</c:v>
                </c:pt>
                <c:pt idx="49">
                  <c:v>189</c:v>
                </c:pt>
                <c:pt idx="50">
                  <c:v>191</c:v>
                </c:pt>
                <c:pt idx="51">
                  <c:v>193</c:v>
                </c:pt>
                <c:pt idx="52">
                  <c:v>195</c:v>
                </c:pt>
                <c:pt idx="53">
                  <c:v>197</c:v>
                </c:pt>
                <c:pt idx="54">
                  <c:v>199</c:v>
                </c:pt>
                <c:pt idx="55">
                  <c:v>201</c:v>
                </c:pt>
                <c:pt idx="56">
                  <c:v>203</c:v>
                </c:pt>
                <c:pt idx="57">
                  <c:v>205</c:v>
                </c:pt>
                <c:pt idx="58">
                  <c:v>207</c:v>
                </c:pt>
                <c:pt idx="59">
                  <c:v>209</c:v>
                </c:pt>
                <c:pt idx="60">
                  <c:v>211</c:v>
                </c:pt>
                <c:pt idx="61">
                  <c:v>213</c:v>
                </c:pt>
                <c:pt idx="62">
                  <c:v>215</c:v>
                </c:pt>
                <c:pt idx="63">
                  <c:v>217</c:v>
                </c:pt>
                <c:pt idx="64">
                  <c:v>219</c:v>
                </c:pt>
                <c:pt idx="65">
                  <c:v>221</c:v>
                </c:pt>
                <c:pt idx="66">
                  <c:v>223</c:v>
                </c:pt>
                <c:pt idx="67">
                  <c:v>225</c:v>
                </c:pt>
                <c:pt idx="68">
                  <c:v>227</c:v>
                </c:pt>
                <c:pt idx="69">
                  <c:v>229</c:v>
                </c:pt>
                <c:pt idx="70">
                  <c:v>231</c:v>
                </c:pt>
                <c:pt idx="71">
                  <c:v>233</c:v>
                </c:pt>
                <c:pt idx="72">
                  <c:v>235</c:v>
                </c:pt>
                <c:pt idx="73">
                  <c:v>237</c:v>
                </c:pt>
                <c:pt idx="74">
                  <c:v>239</c:v>
                </c:pt>
                <c:pt idx="75">
                  <c:v>241</c:v>
                </c:pt>
                <c:pt idx="76">
                  <c:v>243</c:v>
                </c:pt>
                <c:pt idx="77">
                  <c:v>245</c:v>
                </c:pt>
                <c:pt idx="78">
                  <c:v>247</c:v>
                </c:pt>
                <c:pt idx="79">
                  <c:v>249</c:v>
                </c:pt>
                <c:pt idx="80">
                  <c:v>251</c:v>
                </c:pt>
                <c:pt idx="81">
                  <c:v>253</c:v>
                </c:pt>
                <c:pt idx="82">
                  <c:v>255</c:v>
                </c:pt>
                <c:pt idx="83">
                  <c:v>257</c:v>
                </c:pt>
                <c:pt idx="84">
                  <c:v>259</c:v>
                </c:pt>
                <c:pt idx="85">
                  <c:v>261</c:v>
                </c:pt>
                <c:pt idx="86">
                  <c:v>263</c:v>
                </c:pt>
                <c:pt idx="87">
                  <c:v>265</c:v>
                </c:pt>
                <c:pt idx="88">
                  <c:v>267</c:v>
                </c:pt>
                <c:pt idx="89">
                  <c:v>269</c:v>
                </c:pt>
                <c:pt idx="90">
                  <c:v>271</c:v>
                </c:pt>
                <c:pt idx="91">
                  <c:v>273</c:v>
                </c:pt>
                <c:pt idx="92">
                  <c:v>275</c:v>
                </c:pt>
                <c:pt idx="93">
                  <c:v>277</c:v>
                </c:pt>
                <c:pt idx="94">
                  <c:v>279</c:v>
                </c:pt>
                <c:pt idx="95">
                  <c:v>281</c:v>
                </c:pt>
                <c:pt idx="96">
                  <c:v>283</c:v>
                </c:pt>
                <c:pt idx="97">
                  <c:v>285</c:v>
                </c:pt>
                <c:pt idx="98">
                  <c:v>287</c:v>
                </c:pt>
                <c:pt idx="99">
                  <c:v>289</c:v>
                </c:pt>
                <c:pt idx="100">
                  <c:v>291</c:v>
                </c:pt>
                <c:pt idx="101">
                  <c:v>293</c:v>
                </c:pt>
                <c:pt idx="102">
                  <c:v>295</c:v>
                </c:pt>
                <c:pt idx="103">
                  <c:v>297</c:v>
                </c:pt>
                <c:pt idx="104">
                  <c:v>299</c:v>
                </c:pt>
                <c:pt idx="105">
                  <c:v>301</c:v>
                </c:pt>
                <c:pt idx="106">
                  <c:v>303</c:v>
                </c:pt>
                <c:pt idx="107">
                  <c:v>305</c:v>
                </c:pt>
                <c:pt idx="108">
                  <c:v>307</c:v>
                </c:pt>
                <c:pt idx="109">
                  <c:v>309</c:v>
                </c:pt>
                <c:pt idx="110">
                  <c:v>311</c:v>
                </c:pt>
                <c:pt idx="111">
                  <c:v>313</c:v>
                </c:pt>
                <c:pt idx="112">
                  <c:v>315</c:v>
                </c:pt>
                <c:pt idx="113">
                  <c:v>317</c:v>
                </c:pt>
                <c:pt idx="114">
                  <c:v>319</c:v>
                </c:pt>
                <c:pt idx="115">
                  <c:v>321</c:v>
                </c:pt>
                <c:pt idx="116">
                  <c:v>323</c:v>
                </c:pt>
                <c:pt idx="117">
                  <c:v>325</c:v>
                </c:pt>
                <c:pt idx="118">
                  <c:v>327</c:v>
                </c:pt>
                <c:pt idx="119">
                  <c:v>329</c:v>
                </c:pt>
                <c:pt idx="120">
                  <c:v>331</c:v>
                </c:pt>
                <c:pt idx="121">
                  <c:v>333</c:v>
                </c:pt>
                <c:pt idx="122">
                  <c:v>335</c:v>
                </c:pt>
                <c:pt idx="123">
                  <c:v>337</c:v>
                </c:pt>
                <c:pt idx="124">
                  <c:v>339</c:v>
                </c:pt>
                <c:pt idx="125">
                  <c:v>341</c:v>
                </c:pt>
                <c:pt idx="126">
                  <c:v>343</c:v>
                </c:pt>
                <c:pt idx="127">
                  <c:v>345</c:v>
                </c:pt>
                <c:pt idx="128">
                  <c:v>347</c:v>
                </c:pt>
                <c:pt idx="129">
                  <c:v>349</c:v>
                </c:pt>
                <c:pt idx="130">
                  <c:v>351</c:v>
                </c:pt>
                <c:pt idx="131">
                  <c:v>353</c:v>
                </c:pt>
                <c:pt idx="132">
                  <c:v>355</c:v>
                </c:pt>
                <c:pt idx="133">
                  <c:v>357</c:v>
                </c:pt>
                <c:pt idx="134">
                  <c:v>359</c:v>
                </c:pt>
                <c:pt idx="135">
                  <c:v>361</c:v>
                </c:pt>
                <c:pt idx="136">
                  <c:v>363</c:v>
                </c:pt>
                <c:pt idx="137">
                  <c:v>365</c:v>
                </c:pt>
                <c:pt idx="138">
                  <c:v>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D-1241-80D2-9FBF0ADD2750}"/>
            </c:ext>
          </c:extLst>
        </c:ser>
        <c:ser>
          <c:idx val="1"/>
          <c:order val="1"/>
          <c:tx>
            <c:strRef>
              <c:f>Cost!$C$10</c:f>
              <c:strCache>
                <c:ptCount val="1"/>
                <c:pt idx="0">
                  <c:v>Propane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Cost!$C$11:$C$149</c:f>
              <c:numCache>
                <c:formatCode>General</c:formatCode>
                <c:ptCount val="139"/>
                <c:pt idx="0">
                  <c:v>139</c:v>
                </c:pt>
                <c:pt idx="1">
                  <c:v>140.55000000000001</c:v>
                </c:pt>
                <c:pt idx="2">
                  <c:v>142.1</c:v>
                </c:pt>
                <c:pt idx="3">
                  <c:v>143.65</c:v>
                </c:pt>
                <c:pt idx="4">
                  <c:v>145.19999999999999</c:v>
                </c:pt>
                <c:pt idx="5">
                  <c:v>146.75</c:v>
                </c:pt>
                <c:pt idx="6">
                  <c:v>148.30000000000001</c:v>
                </c:pt>
                <c:pt idx="7">
                  <c:v>149.85</c:v>
                </c:pt>
                <c:pt idx="8">
                  <c:v>151.4</c:v>
                </c:pt>
                <c:pt idx="9">
                  <c:v>152.94999999999999</c:v>
                </c:pt>
                <c:pt idx="10">
                  <c:v>154.5</c:v>
                </c:pt>
                <c:pt idx="11">
                  <c:v>156.05000000000001</c:v>
                </c:pt>
                <c:pt idx="12">
                  <c:v>157.6</c:v>
                </c:pt>
                <c:pt idx="13">
                  <c:v>159.15</c:v>
                </c:pt>
                <c:pt idx="14">
                  <c:v>160.69999999999999</c:v>
                </c:pt>
                <c:pt idx="15">
                  <c:v>162.25</c:v>
                </c:pt>
                <c:pt idx="16">
                  <c:v>163.80000000000001</c:v>
                </c:pt>
                <c:pt idx="17">
                  <c:v>165.35</c:v>
                </c:pt>
                <c:pt idx="18">
                  <c:v>166.9</c:v>
                </c:pt>
                <c:pt idx="19">
                  <c:v>168.45</c:v>
                </c:pt>
                <c:pt idx="20">
                  <c:v>170</c:v>
                </c:pt>
                <c:pt idx="21">
                  <c:v>171.55</c:v>
                </c:pt>
                <c:pt idx="22">
                  <c:v>173.1</c:v>
                </c:pt>
                <c:pt idx="23">
                  <c:v>174.65</c:v>
                </c:pt>
                <c:pt idx="24">
                  <c:v>176.2</c:v>
                </c:pt>
                <c:pt idx="25">
                  <c:v>177.75</c:v>
                </c:pt>
                <c:pt idx="26">
                  <c:v>179.3</c:v>
                </c:pt>
                <c:pt idx="27">
                  <c:v>180.85</c:v>
                </c:pt>
                <c:pt idx="28">
                  <c:v>182.4</c:v>
                </c:pt>
                <c:pt idx="29">
                  <c:v>183.95</c:v>
                </c:pt>
                <c:pt idx="30">
                  <c:v>185.5</c:v>
                </c:pt>
                <c:pt idx="31">
                  <c:v>187.05</c:v>
                </c:pt>
                <c:pt idx="32">
                  <c:v>188.6</c:v>
                </c:pt>
                <c:pt idx="33">
                  <c:v>190.15</c:v>
                </c:pt>
                <c:pt idx="34">
                  <c:v>191.7</c:v>
                </c:pt>
                <c:pt idx="35">
                  <c:v>193.25</c:v>
                </c:pt>
                <c:pt idx="36">
                  <c:v>194.8</c:v>
                </c:pt>
                <c:pt idx="37">
                  <c:v>196.35</c:v>
                </c:pt>
                <c:pt idx="38">
                  <c:v>197.9</c:v>
                </c:pt>
                <c:pt idx="39">
                  <c:v>199.45</c:v>
                </c:pt>
                <c:pt idx="40">
                  <c:v>201</c:v>
                </c:pt>
                <c:pt idx="41">
                  <c:v>202.55</c:v>
                </c:pt>
                <c:pt idx="42">
                  <c:v>204.10000000000002</c:v>
                </c:pt>
                <c:pt idx="43">
                  <c:v>205.65</c:v>
                </c:pt>
                <c:pt idx="44">
                  <c:v>207.2</c:v>
                </c:pt>
                <c:pt idx="45">
                  <c:v>208.75</c:v>
                </c:pt>
                <c:pt idx="46">
                  <c:v>210.3</c:v>
                </c:pt>
                <c:pt idx="47">
                  <c:v>211.85000000000002</c:v>
                </c:pt>
                <c:pt idx="48">
                  <c:v>213.4</c:v>
                </c:pt>
                <c:pt idx="49">
                  <c:v>214.95</c:v>
                </c:pt>
                <c:pt idx="50">
                  <c:v>216.5</c:v>
                </c:pt>
                <c:pt idx="51">
                  <c:v>218.05</c:v>
                </c:pt>
                <c:pt idx="52">
                  <c:v>219.60000000000002</c:v>
                </c:pt>
                <c:pt idx="53">
                  <c:v>221.15</c:v>
                </c:pt>
                <c:pt idx="54">
                  <c:v>222.7</c:v>
                </c:pt>
                <c:pt idx="55">
                  <c:v>224.25</c:v>
                </c:pt>
                <c:pt idx="56">
                  <c:v>225.8</c:v>
                </c:pt>
                <c:pt idx="57">
                  <c:v>227.35000000000002</c:v>
                </c:pt>
                <c:pt idx="58">
                  <c:v>228.9</c:v>
                </c:pt>
                <c:pt idx="59">
                  <c:v>230.45</c:v>
                </c:pt>
                <c:pt idx="60">
                  <c:v>232</c:v>
                </c:pt>
                <c:pt idx="61">
                  <c:v>233.55</c:v>
                </c:pt>
                <c:pt idx="62">
                  <c:v>235.10000000000002</c:v>
                </c:pt>
                <c:pt idx="63">
                  <c:v>236.65</c:v>
                </c:pt>
                <c:pt idx="64">
                  <c:v>238.2</c:v>
                </c:pt>
                <c:pt idx="65">
                  <c:v>239.75</c:v>
                </c:pt>
                <c:pt idx="66">
                  <c:v>241.3</c:v>
                </c:pt>
                <c:pt idx="67">
                  <c:v>242.85000000000002</c:v>
                </c:pt>
                <c:pt idx="68">
                  <c:v>244.4</c:v>
                </c:pt>
                <c:pt idx="69">
                  <c:v>245.95</c:v>
                </c:pt>
                <c:pt idx="70">
                  <c:v>247.5</c:v>
                </c:pt>
                <c:pt idx="71">
                  <c:v>249.05</c:v>
                </c:pt>
                <c:pt idx="72">
                  <c:v>250.60000000000002</c:v>
                </c:pt>
                <c:pt idx="73">
                  <c:v>252.15</c:v>
                </c:pt>
                <c:pt idx="74">
                  <c:v>253.7</c:v>
                </c:pt>
                <c:pt idx="75">
                  <c:v>255.25</c:v>
                </c:pt>
                <c:pt idx="76">
                  <c:v>256.8</c:v>
                </c:pt>
                <c:pt idx="77">
                  <c:v>258.35000000000002</c:v>
                </c:pt>
                <c:pt idx="78">
                  <c:v>259.89999999999998</c:v>
                </c:pt>
                <c:pt idx="79">
                  <c:v>261.45</c:v>
                </c:pt>
                <c:pt idx="80">
                  <c:v>263</c:v>
                </c:pt>
                <c:pt idx="81">
                  <c:v>264.55</c:v>
                </c:pt>
                <c:pt idx="82">
                  <c:v>266.10000000000002</c:v>
                </c:pt>
                <c:pt idx="83">
                  <c:v>267.64999999999998</c:v>
                </c:pt>
                <c:pt idx="84">
                  <c:v>269.20000000000005</c:v>
                </c:pt>
                <c:pt idx="85">
                  <c:v>270.75</c:v>
                </c:pt>
                <c:pt idx="86">
                  <c:v>272.3</c:v>
                </c:pt>
                <c:pt idx="87">
                  <c:v>273.85000000000002</c:v>
                </c:pt>
                <c:pt idx="88">
                  <c:v>275.39999999999998</c:v>
                </c:pt>
                <c:pt idx="89">
                  <c:v>276.95000000000005</c:v>
                </c:pt>
                <c:pt idx="90">
                  <c:v>278.5</c:v>
                </c:pt>
                <c:pt idx="91">
                  <c:v>280.05</c:v>
                </c:pt>
                <c:pt idx="92">
                  <c:v>281.60000000000002</c:v>
                </c:pt>
                <c:pt idx="93">
                  <c:v>283.14999999999998</c:v>
                </c:pt>
                <c:pt idx="94">
                  <c:v>284.70000000000005</c:v>
                </c:pt>
                <c:pt idx="95">
                  <c:v>286.25</c:v>
                </c:pt>
                <c:pt idx="96">
                  <c:v>287.8</c:v>
                </c:pt>
                <c:pt idx="97">
                  <c:v>289.35000000000002</c:v>
                </c:pt>
                <c:pt idx="98">
                  <c:v>290.89999999999998</c:v>
                </c:pt>
                <c:pt idx="99">
                  <c:v>292.45000000000005</c:v>
                </c:pt>
                <c:pt idx="100">
                  <c:v>294</c:v>
                </c:pt>
                <c:pt idx="101">
                  <c:v>295.55</c:v>
                </c:pt>
                <c:pt idx="102">
                  <c:v>297.10000000000002</c:v>
                </c:pt>
                <c:pt idx="103">
                  <c:v>298.64999999999998</c:v>
                </c:pt>
                <c:pt idx="104">
                  <c:v>300.20000000000005</c:v>
                </c:pt>
                <c:pt idx="105">
                  <c:v>301.75</c:v>
                </c:pt>
                <c:pt idx="106">
                  <c:v>303.3</c:v>
                </c:pt>
                <c:pt idx="107">
                  <c:v>304.85000000000002</c:v>
                </c:pt>
                <c:pt idx="108">
                  <c:v>306.39999999999998</c:v>
                </c:pt>
                <c:pt idx="109">
                  <c:v>307.95000000000005</c:v>
                </c:pt>
                <c:pt idx="110">
                  <c:v>309.5</c:v>
                </c:pt>
                <c:pt idx="111">
                  <c:v>311.05</c:v>
                </c:pt>
                <c:pt idx="112">
                  <c:v>312.60000000000002</c:v>
                </c:pt>
                <c:pt idx="113">
                  <c:v>314.14999999999998</c:v>
                </c:pt>
                <c:pt idx="114">
                  <c:v>315.70000000000005</c:v>
                </c:pt>
                <c:pt idx="115">
                  <c:v>317.25</c:v>
                </c:pt>
                <c:pt idx="116">
                  <c:v>318.8</c:v>
                </c:pt>
                <c:pt idx="117">
                  <c:v>320.35000000000002</c:v>
                </c:pt>
                <c:pt idx="118">
                  <c:v>321.89999999999998</c:v>
                </c:pt>
                <c:pt idx="119">
                  <c:v>323.45000000000005</c:v>
                </c:pt>
                <c:pt idx="120">
                  <c:v>325</c:v>
                </c:pt>
                <c:pt idx="121">
                  <c:v>326.55</c:v>
                </c:pt>
                <c:pt idx="122">
                  <c:v>328.1</c:v>
                </c:pt>
                <c:pt idx="123">
                  <c:v>329.65</c:v>
                </c:pt>
                <c:pt idx="124">
                  <c:v>331.20000000000005</c:v>
                </c:pt>
                <c:pt idx="125">
                  <c:v>332.75</c:v>
                </c:pt>
                <c:pt idx="126">
                  <c:v>334.3</c:v>
                </c:pt>
                <c:pt idx="127">
                  <c:v>335.85</c:v>
                </c:pt>
                <c:pt idx="128">
                  <c:v>337.4</c:v>
                </c:pt>
                <c:pt idx="129">
                  <c:v>338.95000000000005</c:v>
                </c:pt>
                <c:pt idx="130">
                  <c:v>340.5</c:v>
                </c:pt>
                <c:pt idx="131">
                  <c:v>342.05</c:v>
                </c:pt>
                <c:pt idx="132">
                  <c:v>343.6</c:v>
                </c:pt>
                <c:pt idx="133">
                  <c:v>345.15</c:v>
                </c:pt>
                <c:pt idx="134">
                  <c:v>346.70000000000005</c:v>
                </c:pt>
                <c:pt idx="135">
                  <c:v>348.25</c:v>
                </c:pt>
                <c:pt idx="136">
                  <c:v>349.8</c:v>
                </c:pt>
                <c:pt idx="137">
                  <c:v>351.35</c:v>
                </c:pt>
                <c:pt idx="138">
                  <c:v>352.9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5D-1241-80D2-9FBF0ADD2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700640"/>
        <c:axId val="455769680"/>
      </c:lineChart>
      <c:catAx>
        <c:axId val="455700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69680"/>
        <c:crosses val="autoZero"/>
        <c:auto val="1"/>
        <c:lblAlgn val="ctr"/>
        <c:lblOffset val="100"/>
        <c:noMultiLvlLbl val="0"/>
      </c:catAx>
      <c:valAx>
        <c:axId val="45576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0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10</xdr:row>
      <xdr:rowOff>177800</xdr:rowOff>
    </xdr:from>
    <xdr:to>
      <xdr:col>17</xdr:col>
      <xdr:colOff>673100</xdr:colOff>
      <xdr:row>39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4565C3-3597-8A49-9F2A-01C948C2F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"/>
  <sheetViews>
    <sheetView showGridLines="0" tabSelected="1" topLeftCell="N1" zoomScale="130" zoomScaleNormal="130" workbookViewId="0">
      <selection activeCell="U1" sqref="U1:AF5"/>
    </sheetView>
  </sheetViews>
  <sheetFormatPr baseColWidth="10" defaultColWidth="8.83203125" defaultRowHeight="15" x14ac:dyDescent="0.2"/>
  <cols>
    <col min="1" max="1" width="14" bestFit="1" customWidth="1"/>
    <col min="2" max="2" width="7.1640625" bestFit="1" customWidth="1"/>
    <col min="3" max="3" width="6.83203125" bestFit="1" customWidth="1"/>
    <col min="4" max="4" width="6.83203125" customWidth="1"/>
    <col min="5" max="5" width="7.1640625" bestFit="1" customWidth="1"/>
    <col min="6" max="6" width="6.83203125" bestFit="1" customWidth="1"/>
    <col min="7" max="7" width="6.83203125" customWidth="1"/>
    <col min="8" max="8" width="7.1640625" bestFit="1" customWidth="1"/>
    <col min="9" max="9" width="6.83203125" bestFit="1" customWidth="1"/>
    <col min="10" max="10" width="6.83203125" customWidth="1"/>
    <col min="11" max="11" width="7.1640625" bestFit="1" customWidth="1"/>
    <col min="12" max="12" width="6.83203125" bestFit="1" customWidth="1"/>
    <col min="13" max="13" width="6.83203125" customWidth="1"/>
    <col min="14" max="14" width="7.1640625" bestFit="1" customWidth="1"/>
    <col min="15" max="15" width="6.83203125" bestFit="1" customWidth="1"/>
    <col min="16" max="16" width="6.83203125" customWidth="1"/>
    <col min="17" max="17" width="7.1640625" bestFit="1" customWidth="1"/>
    <col min="18" max="18" width="6.83203125" bestFit="1" customWidth="1"/>
  </cols>
  <sheetData>
    <row r="1" spans="1:32" x14ac:dyDescent="0.2">
      <c r="A1" s="1"/>
      <c r="B1" s="11" t="s">
        <v>21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2"/>
      <c r="U1" s="11" t="s">
        <v>21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">
      <c r="A2" s="1"/>
      <c r="B2" s="10" t="s">
        <v>9</v>
      </c>
      <c r="C2" s="10"/>
      <c r="D2" s="10"/>
      <c r="E2" s="10"/>
      <c r="F2" s="10"/>
      <c r="G2" s="10"/>
      <c r="H2" s="10"/>
      <c r="I2" s="10"/>
      <c r="J2" s="3"/>
      <c r="K2" s="10" t="s">
        <v>19</v>
      </c>
      <c r="L2" s="10"/>
      <c r="M2" s="10"/>
      <c r="N2" s="10"/>
      <c r="O2" s="10"/>
      <c r="P2" s="10"/>
      <c r="Q2" s="10"/>
      <c r="R2" s="10"/>
      <c r="S2" s="2"/>
      <c r="U2" s="12" t="s">
        <v>9</v>
      </c>
      <c r="V2" s="14"/>
      <c r="W2" s="14"/>
      <c r="X2" s="14"/>
      <c r="Y2" s="14"/>
      <c r="Z2" s="13"/>
      <c r="AA2" s="12" t="s">
        <v>19</v>
      </c>
      <c r="AB2" s="14"/>
      <c r="AC2" s="14"/>
      <c r="AD2" s="14"/>
      <c r="AE2" s="14"/>
      <c r="AF2" s="13"/>
    </row>
    <row r="3" spans="1:32" x14ac:dyDescent="0.2">
      <c r="A3" s="1"/>
      <c r="B3" s="10" t="s">
        <v>2</v>
      </c>
      <c r="C3" s="10"/>
      <c r="D3" s="10"/>
      <c r="E3" s="10" t="s">
        <v>5</v>
      </c>
      <c r="F3" s="10"/>
      <c r="G3" s="10"/>
      <c r="H3" s="10" t="s">
        <v>8</v>
      </c>
      <c r="I3" s="10"/>
      <c r="J3" s="10"/>
      <c r="K3" s="10" t="s">
        <v>12</v>
      </c>
      <c r="L3" s="10"/>
      <c r="M3" s="10"/>
      <c r="N3" s="10" t="s">
        <v>15</v>
      </c>
      <c r="O3" s="10"/>
      <c r="P3" s="10"/>
      <c r="Q3" s="10" t="s">
        <v>18</v>
      </c>
      <c r="R3" s="10"/>
      <c r="S3" s="10"/>
      <c r="U3" s="4" t="s">
        <v>2</v>
      </c>
      <c r="V3" s="4"/>
      <c r="W3" s="12" t="s">
        <v>5</v>
      </c>
      <c r="X3" s="13"/>
      <c r="Y3" s="4" t="s">
        <v>8</v>
      </c>
      <c r="Z3" s="4"/>
      <c r="AA3" s="4" t="s">
        <v>2</v>
      </c>
      <c r="AB3" s="4"/>
      <c r="AC3" s="4" t="s">
        <v>5</v>
      </c>
      <c r="AD3" s="4"/>
      <c r="AE3" s="4" t="s">
        <v>8</v>
      </c>
      <c r="AF3" s="4"/>
    </row>
    <row r="4" spans="1:32" x14ac:dyDescent="0.2">
      <c r="A4" s="7" t="s">
        <v>20</v>
      </c>
      <c r="B4" s="3" t="s">
        <v>0</v>
      </c>
      <c r="C4" s="3" t="s">
        <v>1</v>
      </c>
      <c r="D4" s="3" t="s">
        <v>22</v>
      </c>
      <c r="E4" s="3" t="s">
        <v>3</v>
      </c>
      <c r="F4" s="3" t="s">
        <v>4</v>
      </c>
      <c r="G4" s="3" t="s">
        <v>22</v>
      </c>
      <c r="H4" s="3" t="s">
        <v>6</v>
      </c>
      <c r="I4" s="3" t="s">
        <v>7</v>
      </c>
      <c r="J4" s="3" t="s">
        <v>22</v>
      </c>
      <c r="K4" s="3" t="s">
        <v>10</v>
      </c>
      <c r="L4" s="3" t="s">
        <v>11</v>
      </c>
      <c r="M4" s="3" t="s">
        <v>22</v>
      </c>
      <c r="N4" s="3" t="s">
        <v>13</v>
      </c>
      <c r="O4" s="3" t="s">
        <v>14</v>
      </c>
      <c r="P4" s="3" t="s">
        <v>22</v>
      </c>
      <c r="Q4" s="3" t="s">
        <v>16</v>
      </c>
      <c r="R4" s="3" t="s">
        <v>17</v>
      </c>
      <c r="S4" s="3" t="s">
        <v>22</v>
      </c>
      <c r="U4" s="3" t="s">
        <v>0</v>
      </c>
      <c r="V4" s="8" t="s">
        <v>1</v>
      </c>
      <c r="W4" s="8" t="s">
        <v>0</v>
      </c>
      <c r="X4" s="3" t="s">
        <v>1</v>
      </c>
      <c r="Y4" s="3" t="s">
        <v>0</v>
      </c>
      <c r="Z4" s="8" t="s">
        <v>1</v>
      </c>
      <c r="AA4" s="3" t="s">
        <v>0</v>
      </c>
      <c r="AB4" s="8" t="s">
        <v>1</v>
      </c>
      <c r="AC4" s="3" t="s">
        <v>0</v>
      </c>
      <c r="AD4" s="8" t="s">
        <v>1</v>
      </c>
      <c r="AE4" s="3" t="s">
        <v>0</v>
      </c>
      <c r="AF4" s="8" t="s">
        <v>1</v>
      </c>
    </row>
    <row r="5" spans="1:32" x14ac:dyDescent="0.2">
      <c r="A5" s="5">
        <v>1</v>
      </c>
      <c r="B5" s="6">
        <v>0.17500000000000002</v>
      </c>
      <c r="C5" s="6">
        <v>5.9249999999999989</v>
      </c>
      <c r="D5" s="6" t="str">
        <f>IF(B5&gt;C5,"Charcoal","Propane")</f>
        <v>Propane</v>
      </c>
      <c r="E5" s="6">
        <v>5.1749999999999998</v>
      </c>
      <c r="F5" s="6">
        <v>0.65</v>
      </c>
      <c r="G5" s="6" t="str">
        <f>IF(E5&gt;F5,"Charcoal","Propane")</f>
        <v>Charcoal</v>
      </c>
      <c r="H5" s="6">
        <v>0.25</v>
      </c>
      <c r="I5" s="6">
        <v>0.55000000000000004</v>
      </c>
      <c r="J5" s="6" t="s">
        <v>1</v>
      </c>
      <c r="K5" s="2"/>
      <c r="L5" s="2"/>
      <c r="M5" s="2"/>
      <c r="N5" s="2"/>
      <c r="O5" s="2"/>
      <c r="P5" s="2"/>
      <c r="Q5" s="2"/>
      <c r="R5" s="2"/>
      <c r="S5" s="2"/>
      <c r="U5" s="2">
        <f>COUNTIF(D5:D33,U4)</f>
        <v>0</v>
      </c>
      <c r="V5" s="9">
        <f>COUNTIF(D5:D33,V4)</f>
        <v>15</v>
      </c>
      <c r="W5" s="9">
        <f>COUNTIF(G5:G33,W4)</f>
        <v>15</v>
      </c>
      <c r="X5" s="2">
        <f>COUNTIF(G5:G33,X4)</f>
        <v>0</v>
      </c>
      <c r="Y5" s="2">
        <f>COUNTIF(J5:J33,Y4)</f>
        <v>0</v>
      </c>
      <c r="Z5" s="9">
        <f>COUNTIF(J5:J33,Z4)</f>
        <v>15</v>
      </c>
      <c r="AA5" s="2">
        <f>COUNTIF(M5:M33,AA4)</f>
        <v>0</v>
      </c>
      <c r="AB5" s="9">
        <f>COUNTIF(M5:M34,AB4)</f>
        <v>15</v>
      </c>
      <c r="AC5" s="2">
        <f>COUNTIF(P5:P34,AC4)</f>
        <v>0</v>
      </c>
      <c r="AD5" s="9">
        <f>COUNTIF(P5:P34,AD4)</f>
        <v>15</v>
      </c>
      <c r="AE5" s="2">
        <f>COUNTIF(S5:S34,AE4)</f>
        <v>0</v>
      </c>
      <c r="AF5" s="9">
        <f>COUNTIF(S5:S34,AF4)</f>
        <v>15</v>
      </c>
    </row>
    <row r="6" spans="1:32" x14ac:dyDescent="0.2">
      <c r="A6" s="5">
        <v>2</v>
      </c>
      <c r="B6" s="2"/>
      <c r="C6" s="2"/>
      <c r="D6" s="6"/>
      <c r="E6" s="2"/>
      <c r="F6" s="2"/>
      <c r="G6" s="6"/>
      <c r="H6" s="2"/>
      <c r="I6" s="2"/>
      <c r="J6" s="6"/>
      <c r="K6" s="6">
        <v>0.17499999999999999</v>
      </c>
      <c r="L6" s="6">
        <v>5.3249999999999993</v>
      </c>
      <c r="M6" s="6" t="s">
        <v>1</v>
      </c>
      <c r="N6" s="6">
        <v>5.0750000000000002</v>
      </c>
      <c r="O6" s="6">
        <v>0.65</v>
      </c>
      <c r="P6" s="6" t="s">
        <v>1</v>
      </c>
      <c r="Q6" s="6">
        <v>0.22500000000000001</v>
      </c>
      <c r="R6" s="6">
        <v>0.47500000000000003</v>
      </c>
      <c r="S6" s="6" t="s">
        <v>1</v>
      </c>
    </row>
    <row r="7" spans="1:32" x14ac:dyDescent="0.2">
      <c r="A7" s="5">
        <v>3</v>
      </c>
      <c r="B7" s="6">
        <v>0.22500000000000001</v>
      </c>
      <c r="C7" s="6">
        <v>5.5250000000000004</v>
      </c>
      <c r="D7" s="6" t="str">
        <f t="shared" ref="D7:D33" si="0">IF(B7&gt;C7,"Charcoal","Propane")</f>
        <v>Propane</v>
      </c>
      <c r="E7" s="6">
        <v>5.0749999999999993</v>
      </c>
      <c r="F7" s="6">
        <v>0.42499999999999993</v>
      </c>
      <c r="G7" s="6" t="str">
        <f t="shared" ref="G7:G33" si="1">IF(E7&gt;F7,"Charcoal","Propane")</f>
        <v>Charcoal</v>
      </c>
      <c r="H7" s="6">
        <v>0.19999999999999998</v>
      </c>
      <c r="I7" s="6">
        <v>0.5</v>
      </c>
      <c r="J7" s="6" t="s">
        <v>1</v>
      </c>
      <c r="K7" s="2"/>
      <c r="L7" s="2"/>
      <c r="M7" s="6"/>
      <c r="N7" s="2"/>
      <c r="O7" s="2"/>
      <c r="P7" s="6"/>
      <c r="Q7" s="2"/>
      <c r="R7" s="2"/>
      <c r="S7" s="6"/>
      <c r="U7" s="10" t="s">
        <v>23</v>
      </c>
      <c r="V7" s="10"/>
    </row>
    <row r="8" spans="1:32" x14ac:dyDescent="0.2">
      <c r="A8" s="5">
        <v>4</v>
      </c>
      <c r="B8" s="2"/>
      <c r="C8" s="2"/>
      <c r="D8" s="6"/>
      <c r="E8" s="2"/>
      <c r="F8" s="2"/>
      <c r="G8" s="6"/>
      <c r="H8" s="2"/>
      <c r="I8" s="2"/>
      <c r="J8" s="6"/>
      <c r="K8" s="6">
        <v>0.2</v>
      </c>
      <c r="L8" s="6">
        <v>5.6000000000000005</v>
      </c>
      <c r="M8" s="6" t="s">
        <v>1</v>
      </c>
      <c r="N8" s="6">
        <v>5.25</v>
      </c>
      <c r="O8" s="6">
        <v>0.22499999999999998</v>
      </c>
      <c r="P8" s="6" t="s">
        <v>1</v>
      </c>
      <c r="Q8" s="6">
        <v>7.4999999999999997E-2</v>
      </c>
      <c r="R8" s="6">
        <v>0.65</v>
      </c>
      <c r="S8" s="6" t="s">
        <v>1</v>
      </c>
      <c r="U8" s="3" t="s">
        <v>0</v>
      </c>
      <c r="V8" s="8" t="s">
        <v>1</v>
      </c>
    </row>
    <row r="9" spans="1:32" x14ac:dyDescent="0.2">
      <c r="A9" s="5">
        <v>5</v>
      </c>
      <c r="B9" s="6">
        <v>0.17499999999999999</v>
      </c>
      <c r="C9" s="6">
        <v>5.2</v>
      </c>
      <c r="D9" s="6" t="str">
        <f t="shared" si="0"/>
        <v>Propane</v>
      </c>
      <c r="E9" s="6">
        <v>5.2749999999999995</v>
      </c>
      <c r="F9" s="6">
        <v>0.32500000000000001</v>
      </c>
      <c r="G9" s="6" t="str">
        <f t="shared" si="1"/>
        <v>Charcoal</v>
      </c>
      <c r="H9" s="6">
        <v>0.15000000000000002</v>
      </c>
      <c r="I9" s="6">
        <v>0.79999999999999993</v>
      </c>
      <c r="J9" s="6" t="s">
        <v>1</v>
      </c>
      <c r="K9" s="2"/>
      <c r="L9" s="2"/>
      <c r="M9" s="6"/>
      <c r="N9" s="2"/>
      <c r="O9" s="2"/>
      <c r="P9" s="6"/>
      <c r="Q9" s="2"/>
      <c r="R9" s="2"/>
      <c r="S9" s="6"/>
      <c r="U9" s="2">
        <f ca="1">SUMIF($U$4:$AF$5,U8,$U$5:$AF$5)</f>
        <v>15</v>
      </c>
      <c r="V9" s="9">
        <f ca="1">SUMIF($U$4:$AF$5,V8,$U$5:$AF$5)</f>
        <v>75</v>
      </c>
    </row>
    <row r="10" spans="1:32" x14ac:dyDescent="0.2">
      <c r="A10" s="5">
        <v>6</v>
      </c>
      <c r="B10" s="2"/>
      <c r="C10" s="2"/>
      <c r="D10" s="6"/>
      <c r="E10" s="2"/>
      <c r="F10" s="2"/>
      <c r="G10" s="6"/>
      <c r="H10" s="2"/>
      <c r="I10" s="2"/>
      <c r="J10" s="6"/>
      <c r="K10" s="6">
        <v>7.5000000000000011E-2</v>
      </c>
      <c r="L10" s="6">
        <v>5.625</v>
      </c>
      <c r="M10" s="6" t="s">
        <v>1</v>
      </c>
      <c r="N10" s="6">
        <v>5.2</v>
      </c>
      <c r="O10" s="6">
        <v>0.3</v>
      </c>
      <c r="P10" s="6" t="s">
        <v>1</v>
      </c>
      <c r="Q10" s="6">
        <v>2.5000000000000001E-2</v>
      </c>
      <c r="R10" s="6">
        <v>0.75</v>
      </c>
      <c r="S10" s="6" t="s">
        <v>1</v>
      </c>
    </row>
    <row r="11" spans="1:32" x14ac:dyDescent="0.2">
      <c r="A11" s="5">
        <v>7</v>
      </c>
      <c r="B11" s="6">
        <v>0.22500000000000003</v>
      </c>
      <c r="C11" s="6">
        <v>5.45</v>
      </c>
      <c r="D11" s="6" t="str">
        <f t="shared" si="0"/>
        <v>Propane</v>
      </c>
      <c r="E11" s="6">
        <v>5.1750000000000007</v>
      </c>
      <c r="F11" s="6">
        <v>0.32500000000000001</v>
      </c>
      <c r="G11" s="6" t="str">
        <f t="shared" si="1"/>
        <v>Charcoal</v>
      </c>
      <c r="H11" s="6">
        <v>0.17499999999999999</v>
      </c>
      <c r="I11" s="6">
        <v>0.5</v>
      </c>
      <c r="J11" s="6" t="s">
        <v>1</v>
      </c>
      <c r="K11" s="2"/>
      <c r="L11" s="2"/>
      <c r="M11" s="6"/>
      <c r="N11" s="2"/>
      <c r="O11" s="2"/>
      <c r="P11" s="6"/>
      <c r="Q11" s="2"/>
      <c r="R11" s="2"/>
      <c r="S11" s="6"/>
    </row>
    <row r="12" spans="1:32" x14ac:dyDescent="0.2">
      <c r="A12" s="5">
        <v>8</v>
      </c>
      <c r="B12" s="2"/>
      <c r="C12" s="2"/>
      <c r="D12" s="6"/>
      <c r="E12" s="2"/>
      <c r="F12" s="2"/>
      <c r="G12" s="6"/>
      <c r="H12" s="2"/>
      <c r="I12" s="2"/>
      <c r="J12" s="6"/>
      <c r="K12" s="6">
        <v>0.17499999999999999</v>
      </c>
      <c r="L12" s="6">
        <v>5.875</v>
      </c>
      <c r="M12" s="6" t="s">
        <v>1</v>
      </c>
      <c r="N12" s="6">
        <v>5.125</v>
      </c>
      <c r="O12" s="6">
        <v>0.70000000000000007</v>
      </c>
      <c r="P12" s="6" t="s">
        <v>1</v>
      </c>
      <c r="Q12" s="6">
        <v>0.125</v>
      </c>
      <c r="R12" s="6">
        <v>0.30000000000000004</v>
      </c>
      <c r="S12" s="6" t="s">
        <v>1</v>
      </c>
    </row>
    <row r="13" spans="1:32" x14ac:dyDescent="0.2">
      <c r="A13" s="5">
        <v>9</v>
      </c>
      <c r="B13" s="6">
        <v>0.125</v>
      </c>
      <c r="C13" s="6">
        <v>5.6000000000000005</v>
      </c>
      <c r="D13" s="6" t="str">
        <f t="shared" si="0"/>
        <v>Propane</v>
      </c>
      <c r="E13" s="6">
        <v>5.1749999999999998</v>
      </c>
      <c r="F13" s="6">
        <v>0.67500000000000004</v>
      </c>
      <c r="G13" s="6" t="str">
        <f t="shared" si="1"/>
        <v>Charcoal</v>
      </c>
      <c r="H13" s="6">
        <v>0</v>
      </c>
      <c r="I13" s="6">
        <v>0.47499999999999998</v>
      </c>
      <c r="J13" s="6" t="s">
        <v>1</v>
      </c>
      <c r="K13" s="2"/>
      <c r="L13" s="2"/>
      <c r="M13" s="6"/>
      <c r="N13" s="2"/>
      <c r="O13" s="2"/>
      <c r="P13" s="6"/>
      <c r="Q13" s="2"/>
      <c r="R13" s="2"/>
      <c r="S13" s="6"/>
    </row>
    <row r="14" spans="1:32" x14ac:dyDescent="0.2">
      <c r="A14" s="5">
        <v>10</v>
      </c>
      <c r="B14" s="2"/>
      <c r="C14" s="2"/>
      <c r="D14" s="6"/>
      <c r="E14" s="2"/>
      <c r="F14" s="2"/>
      <c r="G14" s="6"/>
      <c r="H14" s="2"/>
      <c r="I14" s="2"/>
      <c r="J14" s="6"/>
      <c r="K14" s="6">
        <v>0.2</v>
      </c>
      <c r="L14" s="6">
        <v>5.2</v>
      </c>
      <c r="M14" s="6" t="s">
        <v>1</v>
      </c>
      <c r="N14" s="6">
        <v>5.3250000000000002</v>
      </c>
      <c r="O14" s="6">
        <v>0.67500000000000004</v>
      </c>
      <c r="P14" s="6" t="s">
        <v>1</v>
      </c>
      <c r="Q14" s="6">
        <v>0.25</v>
      </c>
      <c r="R14" s="6">
        <v>0.52500000000000002</v>
      </c>
      <c r="S14" s="6" t="s">
        <v>1</v>
      </c>
    </row>
    <row r="15" spans="1:32" x14ac:dyDescent="0.2">
      <c r="A15" s="5">
        <v>11</v>
      </c>
      <c r="B15" s="6">
        <v>0.2</v>
      </c>
      <c r="C15" s="6">
        <v>5.625</v>
      </c>
      <c r="D15" s="6" t="str">
        <f t="shared" si="0"/>
        <v>Propane</v>
      </c>
      <c r="E15" s="6">
        <v>5.2</v>
      </c>
      <c r="F15" s="6">
        <v>0.625</v>
      </c>
      <c r="G15" s="6" t="str">
        <f t="shared" si="1"/>
        <v>Charcoal</v>
      </c>
      <c r="H15" s="6">
        <v>2.5000000000000001E-2</v>
      </c>
      <c r="I15" s="6">
        <v>0.44999999999999996</v>
      </c>
      <c r="J15" s="6" t="s">
        <v>1</v>
      </c>
      <c r="K15" s="2"/>
      <c r="L15" s="2"/>
      <c r="M15" s="6"/>
      <c r="N15" s="2"/>
      <c r="O15" s="2"/>
      <c r="P15" s="6"/>
      <c r="Q15" s="2"/>
      <c r="R15" s="2"/>
      <c r="S15" s="6"/>
    </row>
    <row r="16" spans="1:32" x14ac:dyDescent="0.2">
      <c r="A16" s="5">
        <v>12</v>
      </c>
      <c r="B16" s="2"/>
      <c r="C16" s="2"/>
      <c r="D16" s="6"/>
      <c r="E16" s="2"/>
      <c r="F16" s="2"/>
      <c r="G16" s="6"/>
      <c r="H16" s="2"/>
      <c r="I16" s="2"/>
      <c r="J16" s="6"/>
      <c r="K16" s="6">
        <v>0.125</v>
      </c>
      <c r="L16" s="6">
        <v>5.6</v>
      </c>
      <c r="M16" s="6" t="s">
        <v>1</v>
      </c>
      <c r="N16" s="6">
        <v>5.3000000000000007</v>
      </c>
      <c r="O16" s="6">
        <v>0.67499999999999993</v>
      </c>
      <c r="P16" s="6" t="s">
        <v>1</v>
      </c>
      <c r="Q16" s="6">
        <v>0.22500000000000001</v>
      </c>
      <c r="R16" s="6">
        <v>0.625</v>
      </c>
      <c r="S16" s="6" t="s">
        <v>1</v>
      </c>
    </row>
    <row r="17" spans="1:19" x14ac:dyDescent="0.2">
      <c r="A17" s="5">
        <v>13</v>
      </c>
      <c r="B17" s="6">
        <v>0.15</v>
      </c>
      <c r="C17" s="6">
        <v>5.5250000000000004</v>
      </c>
      <c r="D17" s="6" t="str">
        <f t="shared" si="0"/>
        <v>Propane</v>
      </c>
      <c r="E17" s="6">
        <v>5.2249999999999996</v>
      </c>
      <c r="F17" s="6">
        <v>0.65</v>
      </c>
      <c r="G17" s="6" t="str">
        <f t="shared" si="1"/>
        <v>Charcoal</v>
      </c>
      <c r="H17" s="6">
        <v>7.5000000000000011E-2</v>
      </c>
      <c r="I17" s="6">
        <v>0.52500000000000002</v>
      </c>
      <c r="J17" s="6" t="s">
        <v>1</v>
      </c>
      <c r="K17" s="2"/>
      <c r="L17" s="2"/>
      <c r="M17" s="6"/>
      <c r="N17" s="2"/>
      <c r="O17" s="2"/>
      <c r="P17" s="6"/>
      <c r="Q17" s="2"/>
      <c r="R17" s="2"/>
      <c r="S17" s="6"/>
    </row>
    <row r="18" spans="1:19" x14ac:dyDescent="0.2">
      <c r="A18" s="5">
        <v>14</v>
      </c>
      <c r="B18" s="2"/>
      <c r="C18" s="2"/>
      <c r="D18" s="6"/>
      <c r="E18" s="2"/>
      <c r="F18" s="2"/>
      <c r="G18" s="6"/>
      <c r="H18" s="2"/>
      <c r="I18" s="2"/>
      <c r="J18" s="6"/>
      <c r="K18" s="6">
        <v>0.17499999999999999</v>
      </c>
      <c r="L18" s="6">
        <v>5.3</v>
      </c>
      <c r="M18" s="6" t="s">
        <v>1</v>
      </c>
      <c r="N18" s="6">
        <v>5.125</v>
      </c>
      <c r="O18" s="6">
        <v>0.65</v>
      </c>
      <c r="P18" s="6" t="s">
        <v>1</v>
      </c>
      <c r="Q18" s="6">
        <v>0.2</v>
      </c>
      <c r="R18" s="6">
        <v>0.375</v>
      </c>
      <c r="S18" s="6" t="s">
        <v>1</v>
      </c>
    </row>
    <row r="19" spans="1:19" x14ac:dyDescent="0.2">
      <c r="A19" s="5">
        <v>15</v>
      </c>
      <c r="B19" s="6">
        <v>0.17499999999999999</v>
      </c>
      <c r="C19" s="6">
        <v>5.6749999999999998</v>
      </c>
      <c r="D19" s="6" t="str">
        <f t="shared" si="0"/>
        <v>Propane</v>
      </c>
      <c r="E19" s="6">
        <v>5.1749999999999998</v>
      </c>
      <c r="F19" s="6">
        <v>0.45000000000000007</v>
      </c>
      <c r="G19" s="6" t="str">
        <f t="shared" si="1"/>
        <v>Charcoal</v>
      </c>
      <c r="H19" s="6">
        <v>0.17499999999999999</v>
      </c>
      <c r="I19" s="6">
        <v>0.22500000000000003</v>
      </c>
      <c r="J19" s="6" t="s">
        <v>1</v>
      </c>
      <c r="K19" s="2"/>
      <c r="L19" s="2"/>
      <c r="M19" s="6"/>
      <c r="N19" s="2"/>
      <c r="O19" s="2"/>
      <c r="P19" s="6"/>
      <c r="Q19" s="2"/>
      <c r="R19" s="2"/>
      <c r="S19" s="6"/>
    </row>
    <row r="20" spans="1:19" x14ac:dyDescent="0.2">
      <c r="A20" s="5">
        <v>16</v>
      </c>
      <c r="B20" s="2"/>
      <c r="C20" s="2"/>
      <c r="D20" s="6"/>
      <c r="E20" s="2"/>
      <c r="F20" s="2"/>
      <c r="G20" s="6"/>
      <c r="H20" s="2"/>
      <c r="I20" s="2"/>
      <c r="J20" s="6"/>
      <c r="K20" s="6">
        <v>0.125</v>
      </c>
      <c r="L20" s="6">
        <v>5.5</v>
      </c>
      <c r="M20" s="6" t="s">
        <v>1</v>
      </c>
      <c r="N20" s="6">
        <v>5.2749999999999995</v>
      </c>
      <c r="O20" s="6">
        <v>0.375</v>
      </c>
      <c r="P20" s="6" t="s">
        <v>1</v>
      </c>
      <c r="Q20" s="6">
        <v>0.15000000000000002</v>
      </c>
      <c r="R20" s="6">
        <v>0.77500000000000002</v>
      </c>
      <c r="S20" s="6" t="s">
        <v>1</v>
      </c>
    </row>
    <row r="21" spans="1:19" x14ac:dyDescent="0.2">
      <c r="A21" s="5">
        <v>17</v>
      </c>
      <c r="B21" s="6">
        <v>0.17499999999999999</v>
      </c>
      <c r="C21" s="6">
        <v>5.45</v>
      </c>
      <c r="D21" s="6" t="str">
        <f t="shared" si="0"/>
        <v>Propane</v>
      </c>
      <c r="E21" s="6">
        <v>5.3250000000000002</v>
      </c>
      <c r="F21" s="6">
        <v>0.7</v>
      </c>
      <c r="G21" s="6" t="str">
        <f t="shared" si="1"/>
        <v>Charcoal</v>
      </c>
      <c r="H21" s="6">
        <v>0.25</v>
      </c>
      <c r="I21" s="6">
        <v>0.42500000000000004</v>
      </c>
      <c r="J21" s="6" t="s">
        <v>1</v>
      </c>
      <c r="K21" s="2"/>
      <c r="L21" s="2"/>
      <c r="M21" s="6"/>
      <c r="N21" s="2"/>
      <c r="O21" s="2"/>
      <c r="P21" s="6"/>
      <c r="Q21" s="2"/>
      <c r="R21" s="2"/>
      <c r="S21" s="6"/>
    </row>
    <row r="22" spans="1:19" x14ac:dyDescent="0.2">
      <c r="A22" s="5">
        <v>18</v>
      </c>
      <c r="B22" s="2"/>
      <c r="C22" s="2"/>
      <c r="D22" s="6"/>
      <c r="E22" s="2"/>
      <c r="F22" s="2"/>
      <c r="G22" s="6"/>
      <c r="H22" s="2"/>
      <c r="I22" s="2"/>
      <c r="J22" s="6"/>
      <c r="K22" s="6">
        <v>0.125</v>
      </c>
      <c r="L22" s="6">
        <v>5.8250000000000002</v>
      </c>
      <c r="M22" s="6" t="s">
        <v>1</v>
      </c>
      <c r="N22" s="6">
        <v>5.125</v>
      </c>
      <c r="O22" s="6">
        <v>0.57499999999999996</v>
      </c>
      <c r="P22" s="6" t="s">
        <v>1</v>
      </c>
      <c r="Q22" s="6">
        <v>0.2</v>
      </c>
      <c r="R22" s="6">
        <v>0.44999999999999996</v>
      </c>
      <c r="S22" s="6" t="s">
        <v>1</v>
      </c>
    </row>
    <row r="23" spans="1:19" x14ac:dyDescent="0.2">
      <c r="A23" s="5">
        <v>19</v>
      </c>
      <c r="B23" s="6">
        <v>0.32500000000000001</v>
      </c>
      <c r="C23" s="6">
        <v>5.7749999999999995</v>
      </c>
      <c r="D23" s="6" t="str">
        <f t="shared" si="0"/>
        <v>Propane</v>
      </c>
      <c r="E23" s="6">
        <v>5.2750000000000004</v>
      </c>
      <c r="F23" s="6">
        <v>0.47500000000000003</v>
      </c>
      <c r="G23" s="6" t="str">
        <f t="shared" si="1"/>
        <v>Charcoal</v>
      </c>
      <c r="H23" s="6">
        <v>0.25</v>
      </c>
      <c r="I23" s="6">
        <v>0.32500000000000001</v>
      </c>
      <c r="J23" s="6" t="s">
        <v>1</v>
      </c>
      <c r="K23" s="2"/>
      <c r="L23" s="2"/>
      <c r="M23" s="6"/>
      <c r="N23" s="2"/>
      <c r="O23" s="2"/>
      <c r="P23" s="6"/>
      <c r="Q23" s="2"/>
      <c r="R23" s="2"/>
      <c r="S23" s="6"/>
    </row>
    <row r="24" spans="1:19" x14ac:dyDescent="0.2">
      <c r="A24" s="5">
        <v>20</v>
      </c>
      <c r="B24" s="2"/>
      <c r="C24" s="2"/>
      <c r="D24" s="6"/>
      <c r="E24" s="2"/>
      <c r="F24" s="2"/>
      <c r="G24" s="6"/>
      <c r="H24" s="2"/>
      <c r="I24" s="2"/>
      <c r="J24" s="6"/>
      <c r="K24" s="6">
        <v>0.15</v>
      </c>
      <c r="L24" s="6">
        <v>5.9249999999999998</v>
      </c>
      <c r="M24" s="6" t="s">
        <v>1</v>
      </c>
      <c r="N24" s="6">
        <v>5.1749999999999998</v>
      </c>
      <c r="O24" s="6">
        <v>0.32499999999999996</v>
      </c>
      <c r="P24" s="6" t="s">
        <v>1</v>
      </c>
      <c r="Q24" s="6">
        <v>0.3</v>
      </c>
      <c r="R24" s="6">
        <v>0.55000000000000004</v>
      </c>
      <c r="S24" s="6" t="s">
        <v>1</v>
      </c>
    </row>
    <row r="25" spans="1:19" x14ac:dyDescent="0.2">
      <c r="A25" s="5">
        <v>21</v>
      </c>
      <c r="B25" s="6">
        <v>0.15</v>
      </c>
      <c r="C25" s="6">
        <v>5.75</v>
      </c>
      <c r="D25" s="6" t="str">
        <f t="shared" si="0"/>
        <v>Propane</v>
      </c>
      <c r="E25" s="6">
        <v>5.125</v>
      </c>
      <c r="F25" s="6">
        <v>0.45</v>
      </c>
      <c r="G25" s="6" t="str">
        <f t="shared" si="1"/>
        <v>Charcoal</v>
      </c>
      <c r="H25" s="6">
        <v>0.1</v>
      </c>
      <c r="I25" s="6">
        <v>0.54999999999999993</v>
      </c>
      <c r="J25" s="6" t="s">
        <v>1</v>
      </c>
      <c r="K25" s="2"/>
      <c r="L25" s="2"/>
      <c r="M25" s="6"/>
      <c r="N25" s="2"/>
      <c r="O25" s="2"/>
      <c r="P25" s="6"/>
      <c r="Q25" s="2"/>
      <c r="R25" s="2"/>
      <c r="S25" s="6"/>
    </row>
    <row r="26" spans="1:19" x14ac:dyDescent="0.2">
      <c r="A26" s="5">
        <v>22</v>
      </c>
      <c r="B26" s="2"/>
      <c r="C26" s="2"/>
      <c r="D26" s="6"/>
      <c r="E26" s="2"/>
      <c r="F26" s="2"/>
      <c r="G26" s="6"/>
      <c r="H26" s="2"/>
      <c r="I26" s="2"/>
      <c r="J26" s="6"/>
      <c r="K26" s="6">
        <v>0.15</v>
      </c>
      <c r="L26" s="6">
        <v>5.5</v>
      </c>
      <c r="M26" s="6" t="s">
        <v>1</v>
      </c>
      <c r="N26" s="6">
        <v>5.15</v>
      </c>
      <c r="O26" s="6">
        <v>0.5</v>
      </c>
      <c r="P26" s="6" t="s">
        <v>1</v>
      </c>
      <c r="Q26" s="6">
        <v>0.2</v>
      </c>
      <c r="R26" s="6">
        <v>0.35</v>
      </c>
      <c r="S26" s="6" t="s">
        <v>1</v>
      </c>
    </row>
    <row r="27" spans="1:19" x14ac:dyDescent="0.2">
      <c r="A27" s="5">
        <v>23</v>
      </c>
      <c r="B27" s="6">
        <v>0.17499999999999999</v>
      </c>
      <c r="C27" s="6">
        <v>5.7250000000000005</v>
      </c>
      <c r="D27" s="6" t="str">
        <f t="shared" si="0"/>
        <v>Propane</v>
      </c>
      <c r="E27" s="6">
        <v>5.1999999999999993</v>
      </c>
      <c r="F27" s="6">
        <v>0.75</v>
      </c>
      <c r="G27" s="6" t="str">
        <f t="shared" si="1"/>
        <v>Charcoal</v>
      </c>
      <c r="H27" s="6">
        <v>0.15000000000000002</v>
      </c>
      <c r="I27" s="6">
        <v>0.65</v>
      </c>
      <c r="J27" s="6" t="s">
        <v>1</v>
      </c>
      <c r="K27" s="2"/>
      <c r="L27" s="2"/>
      <c r="M27" s="6"/>
      <c r="N27" s="2"/>
      <c r="O27" s="2"/>
      <c r="P27" s="6"/>
      <c r="Q27" s="2"/>
      <c r="R27" s="2"/>
      <c r="S27" s="6"/>
    </row>
    <row r="28" spans="1:19" x14ac:dyDescent="0.2">
      <c r="A28" s="5">
        <v>24</v>
      </c>
      <c r="B28" s="2"/>
      <c r="C28" s="2"/>
      <c r="D28" s="6"/>
      <c r="E28" s="2"/>
      <c r="F28" s="2"/>
      <c r="G28" s="6"/>
      <c r="H28" s="2"/>
      <c r="I28" s="2"/>
      <c r="J28" s="6"/>
      <c r="K28" s="6">
        <v>0.25</v>
      </c>
      <c r="L28" s="6">
        <v>5.875</v>
      </c>
      <c r="M28" s="6" t="s">
        <v>1</v>
      </c>
      <c r="N28" s="6">
        <v>5.2</v>
      </c>
      <c r="O28" s="6">
        <v>0.97499999999999998</v>
      </c>
      <c r="P28" s="6" t="s">
        <v>1</v>
      </c>
      <c r="Q28" s="6">
        <v>0.1</v>
      </c>
      <c r="R28" s="6">
        <v>0.8</v>
      </c>
      <c r="S28" s="6" t="s">
        <v>1</v>
      </c>
    </row>
    <row r="29" spans="1:19" x14ac:dyDescent="0.2">
      <c r="A29" s="5">
        <v>25</v>
      </c>
      <c r="B29" s="6">
        <v>0.22500000000000003</v>
      </c>
      <c r="C29" s="6">
        <v>5.3</v>
      </c>
      <c r="D29" s="6" t="str">
        <f t="shared" si="0"/>
        <v>Propane</v>
      </c>
      <c r="E29" s="6">
        <v>5.125</v>
      </c>
      <c r="F29" s="6">
        <v>0.72500000000000009</v>
      </c>
      <c r="G29" s="6" t="str">
        <f t="shared" si="1"/>
        <v>Charcoal</v>
      </c>
      <c r="H29" s="6">
        <v>0.22499999999999998</v>
      </c>
      <c r="I29" s="6">
        <v>0.55000000000000004</v>
      </c>
      <c r="J29" s="6" t="s">
        <v>1</v>
      </c>
      <c r="K29" s="2"/>
      <c r="L29" s="2"/>
      <c r="M29" s="6"/>
      <c r="N29" s="2"/>
      <c r="O29" s="2"/>
      <c r="P29" s="6"/>
      <c r="Q29" s="2"/>
      <c r="R29" s="2"/>
      <c r="S29" s="6"/>
    </row>
    <row r="30" spans="1:19" x14ac:dyDescent="0.2">
      <c r="A30" s="5">
        <v>26</v>
      </c>
      <c r="B30" s="2"/>
      <c r="C30" s="2"/>
      <c r="D30" s="6"/>
      <c r="E30" s="2"/>
      <c r="F30" s="2"/>
      <c r="G30" s="6"/>
      <c r="H30" s="2"/>
      <c r="I30" s="2"/>
      <c r="J30" s="6"/>
      <c r="K30" s="6">
        <v>0.17499999999999999</v>
      </c>
      <c r="L30" s="6">
        <v>5.8250000000000002</v>
      </c>
      <c r="M30" s="6" t="s">
        <v>1</v>
      </c>
      <c r="N30" s="6">
        <v>5.2249999999999996</v>
      </c>
      <c r="O30" s="6">
        <v>0.77499999999999991</v>
      </c>
      <c r="P30" s="6" t="s">
        <v>1</v>
      </c>
      <c r="Q30" s="6">
        <v>0.05</v>
      </c>
      <c r="R30" s="6">
        <v>0.57499999999999996</v>
      </c>
      <c r="S30" s="6" t="s">
        <v>1</v>
      </c>
    </row>
    <row r="31" spans="1:19" x14ac:dyDescent="0.2">
      <c r="A31" s="5">
        <v>27</v>
      </c>
      <c r="B31" s="6">
        <v>0.22499999999999998</v>
      </c>
      <c r="C31" s="6">
        <v>5.4249999999999998</v>
      </c>
      <c r="D31" s="6" t="str">
        <f t="shared" si="0"/>
        <v>Propane</v>
      </c>
      <c r="E31" s="6">
        <v>5.2750000000000004</v>
      </c>
      <c r="F31" s="6">
        <v>0.37500000000000006</v>
      </c>
      <c r="G31" s="6" t="str">
        <f t="shared" si="1"/>
        <v>Charcoal</v>
      </c>
      <c r="H31" s="6">
        <v>0.1</v>
      </c>
      <c r="I31" s="6">
        <v>0.75</v>
      </c>
      <c r="J31" s="6" t="s">
        <v>1</v>
      </c>
      <c r="K31" s="2"/>
      <c r="L31" s="2"/>
      <c r="M31" s="6"/>
      <c r="N31" s="2"/>
      <c r="O31" s="2"/>
      <c r="P31" s="6"/>
      <c r="Q31" s="2"/>
      <c r="R31" s="2"/>
      <c r="S31" s="6"/>
    </row>
    <row r="32" spans="1:19" x14ac:dyDescent="0.2">
      <c r="A32" s="5">
        <v>28</v>
      </c>
      <c r="B32" s="2"/>
      <c r="C32" s="2"/>
      <c r="D32" s="6"/>
      <c r="E32" s="2"/>
      <c r="F32" s="2"/>
      <c r="G32" s="6"/>
      <c r="H32" s="2"/>
      <c r="I32" s="2"/>
      <c r="J32" s="6"/>
      <c r="K32" s="6">
        <v>0.2</v>
      </c>
      <c r="L32" s="6">
        <v>5.6499999999999995</v>
      </c>
      <c r="M32" s="6" t="s">
        <v>1</v>
      </c>
      <c r="N32" s="6">
        <v>5.1999999999999993</v>
      </c>
      <c r="O32" s="6">
        <v>0.35</v>
      </c>
      <c r="P32" s="6" t="s">
        <v>1</v>
      </c>
      <c r="Q32" s="6">
        <v>0.125</v>
      </c>
      <c r="R32" s="6">
        <v>0.52500000000000002</v>
      </c>
      <c r="S32" s="6" t="s">
        <v>1</v>
      </c>
    </row>
    <row r="33" spans="1:19" x14ac:dyDescent="0.2">
      <c r="A33" s="5">
        <v>29</v>
      </c>
      <c r="B33" s="6">
        <v>0.17499999999999999</v>
      </c>
      <c r="C33" s="6">
        <v>5.6249999999999991</v>
      </c>
      <c r="D33" s="6" t="str">
        <f t="shared" si="0"/>
        <v>Propane</v>
      </c>
      <c r="E33" s="6">
        <v>5.15</v>
      </c>
      <c r="F33" s="6">
        <v>0.6</v>
      </c>
      <c r="G33" s="6" t="str">
        <f t="shared" si="1"/>
        <v>Charcoal</v>
      </c>
      <c r="H33" s="6">
        <v>0.17499999999999999</v>
      </c>
      <c r="I33" s="6">
        <v>0.70000000000000007</v>
      </c>
      <c r="J33" s="6" t="s">
        <v>1</v>
      </c>
      <c r="K33" s="2"/>
      <c r="L33" s="2"/>
      <c r="M33" s="6"/>
      <c r="N33" s="2"/>
      <c r="O33" s="2"/>
      <c r="P33" s="6"/>
      <c r="Q33" s="2"/>
      <c r="R33" s="2"/>
      <c r="S33" s="6"/>
    </row>
    <row r="34" spans="1:19" x14ac:dyDescent="0.2">
      <c r="A34" s="5">
        <v>30</v>
      </c>
      <c r="B34" s="2"/>
      <c r="C34" s="2"/>
      <c r="D34" s="6"/>
      <c r="E34" s="2"/>
      <c r="F34" s="2"/>
      <c r="G34" s="6"/>
      <c r="H34" s="2"/>
      <c r="I34" s="2"/>
      <c r="J34" s="6"/>
      <c r="K34" s="6">
        <v>0.17499999999999999</v>
      </c>
      <c r="L34" s="6">
        <v>5.4</v>
      </c>
      <c r="M34" s="6" t="s">
        <v>1</v>
      </c>
      <c r="N34" s="6">
        <v>5.125</v>
      </c>
      <c r="O34" s="6">
        <v>0.52500000000000002</v>
      </c>
      <c r="P34" s="6" t="s">
        <v>1</v>
      </c>
      <c r="Q34" s="6">
        <v>0.27500000000000002</v>
      </c>
      <c r="R34" s="6">
        <v>0.45</v>
      </c>
      <c r="S34" s="6" t="s">
        <v>1</v>
      </c>
    </row>
  </sheetData>
  <mergeCells count="14">
    <mergeCell ref="U7:V7"/>
    <mergeCell ref="W3:X3"/>
    <mergeCell ref="U1:AF1"/>
    <mergeCell ref="U2:Z2"/>
    <mergeCell ref="AA2:AF2"/>
    <mergeCell ref="K2:R2"/>
    <mergeCell ref="B1:R1"/>
    <mergeCell ref="Q3:S3"/>
    <mergeCell ref="N3:P3"/>
    <mergeCell ref="K3:M3"/>
    <mergeCell ref="H3:J3"/>
    <mergeCell ref="E3:G3"/>
    <mergeCell ref="B3:D3"/>
    <mergeCell ref="B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6238-69B8-EB42-A75B-ED4F61D49871}">
  <dimension ref="A1:C149"/>
  <sheetViews>
    <sheetView showGridLines="0" topLeftCell="A10" workbookViewId="0">
      <selection activeCell="J42" sqref="J42"/>
    </sheetView>
  </sheetViews>
  <sheetFormatPr baseColWidth="10" defaultRowHeight="15" x14ac:dyDescent="0.2"/>
  <cols>
    <col min="1" max="1" width="15.83203125" bestFit="1" customWidth="1"/>
    <col min="2" max="2" width="7.83203125" bestFit="1" customWidth="1"/>
    <col min="3" max="3" width="7.5" bestFit="1" customWidth="1"/>
  </cols>
  <sheetData>
    <row r="1" spans="1:3" x14ac:dyDescent="0.2">
      <c r="A1" s="2" t="s">
        <v>24</v>
      </c>
      <c r="B1" s="2" t="s">
        <v>0</v>
      </c>
      <c r="C1" s="2" t="s">
        <v>1</v>
      </c>
    </row>
    <row r="2" spans="1:3" x14ac:dyDescent="0.2">
      <c r="A2" s="2" t="s">
        <v>25</v>
      </c>
      <c r="B2" s="2">
        <v>1200</v>
      </c>
      <c r="C2" s="2">
        <v>480</v>
      </c>
    </row>
    <row r="3" spans="1:3" x14ac:dyDescent="0.2">
      <c r="A3" s="2" t="s">
        <v>26</v>
      </c>
      <c r="B3" s="2">
        <v>2</v>
      </c>
      <c r="C3" s="2">
        <v>1.55</v>
      </c>
    </row>
    <row r="4" spans="1:3" x14ac:dyDescent="0.2">
      <c r="A4" s="2" t="s">
        <v>27</v>
      </c>
      <c r="B4" s="2">
        <v>0.44</v>
      </c>
      <c r="C4" s="2">
        <v>0.64</v>
      </c>
    </row>
    <row r="5" spans="1:3" x14ac:dyDescent="0.2">
      <c r="A5" s="2" t="s">
        <v>28</v>
      </c>
      <c r="B5" s="2">
        <v>-1</v>
      </c>
      <c r="C5" s="2">
        <v>2</v>
      </c>
    </row>
    <row r="6" spans="1:3" x14ac:dyDescent="0.2">
      <c r="A6" s="2" t="s">
        <v>29</v>
      </c>
      <c r="B6" s="2">
        <v>3</v>
      </c>
      <c r="C6" s="2">
        <v>3</v>
      </c>
    </row>
    <row r="7" spans="1:3" x14ac:dyDescent="0.2">
      <c r="A7" s="2" t="s">
        <v>30</v>
      </c>
      <c r="B7" s="2">
        <v>91</v>
      </c>
      <c r="C7" s="2">
        <v>139</v>
      </c>
    </row>
    <row r="10" spans="1:3" x14ac:dyDescent="0.2">
      <c r="A10" s="2" t="s">
        <v>31</v>
      </c>
      <c r="B10" s="2" t="s">
        <v>0</v>
      </c>
      <c r="C10" s="2" t="s">
        <v>1</v>
      </c>
    </row>
    <row r="11" spans="1:3" x14ac:dyDescent="0.2">
      <c r="A11" s="2" t="s">
        <v>32</v>
      </c>
      <c r="B11" s="2">
        <v>91</v>
      </c>
      <c r="C11" s="2">
        <v>139</v>
      </c>
    </row>
    <row r="12" spans="1:3" x14ac:dyDescent="0.2">
      <c r="A12" s="2">
        <v>1</v>
      </c>
      <c r="B12" s="2">
        <f>$B$11+$A12*$B$3</f>
        <v>93</v>
      </c>
      <c r="C12" s="2">
        <f>$C$11+$A12*$C$3</f>
        <v>140.55000000000001</v>
      </c>
    </row>
    <row r="13" spans="1:3" x14ac:dyDescent="0.2">
      <c r="A13" s="2">
        <v>2</v>
      </c>
      <c r="B13" s="2">
        <f t="shared" ref="B13:B76" si="0">$B$11+A13*$B$3</f>
        <v>95</v>
      </c>
      <c r="C13" s="2">
        <f t="shared" ref="C13:C76" si="1">$C$11+$A13*$C$3</f>
        <v>142.1</v>
      </c>
    </row>
    <row r="14" spans="1:3" x14ac:dyDescent="0.2">
      <c r="A14" s="2">
        <v>3</v>
      </c>
      <c r="B14" s="2">
        <f t="shared" si="0"/>
        <v>97</v>
      </c>
      <c r="C14" s="2">
        <f t="shared" si="1"/>
        <v>143.65</v>
      </c>
    </row>
    <row r="15" spans="1:3" x14ac:dyDescent="0.2">
      <c r="A15" s="2">
        <v>4</v>
      </c>
      <c r="B15" s="2">
        <f t="shared" si="0"/>
        <v>99</v>
      </c>
      <c r="C15" s="2">
        <f t="shared" si="1"/>
        <v>145.19999999999999</v>
      </c>
    </row>
    <row r="16" spans="1:3" x14ac:dyDescent="0.2">
      <c r="A16" s="2">
        <v>5</v>
      </c>
      <c r="B16" s="2">
        <f t="shared" si="0"/>
        <v>101</v>
      </c>
      <c r="C16" s="2">
        <f t="shared" si="1"/>
        <v>146.75</v>
      </c>
    </row>
    <row r="17" spans="1:3" x14ac:dyDescent="0.2">
      <c r="A17" s="2">
        <v>6</v>
      </c>
      <c r="B17" s="2">
        <f t="shared" si="0"/>
        <v>103</v>
      </c>
      <c r="C17" s="2">
        <f t="shared" si="1"/>
        <v>148.30000000000001</v>
      </c>
    </row>
    <row r="18" spans="1:3" x14ac:dyDescent="0.2">
      <c r="A18" s="2">
        <v>7</v>
      </c>
      <c r="B18" s="2">
        <f t="shared" si="0"/>
        <v>105</v>
      </c>
      <c r="C18" s="2">
        <f t="shared" si="1"/>
        <v>149.85</v>
      </c>
    </row>
    <row r="19" spans="1:3" x14ac:dyDescent="0.2">
      <c r="A19" s="2">
        <v>8</v>
      </c>
      <c r="B19" s="2">
        <f t="shared" si="0"/>
        <v>107</v>
      </c>
      <c r="C19" s="2">
        <f t="shared" si="1"/>
        <v>151.4</v>
      </c>
    </row>
    <row r="20" spans="1:3" x14ac:dyDescent="0.2">
      <c r="A20" s="2">
        <v>9</v>
      </c>
      <c r="B20" s="2">
        <f t="shared" si="0"/>
        <v>109</v>
      </c>
      <c r="C20" s="2">
        <f t="shared" si="1"/>
        <v>152.94999999999999</v>
      </c>
    </row>
    <row r="21" spans="1:3" x14ac:dyDescent="0.2">
      <c r="A21" s="2">
        <v>10</v>
      </c>
      <c r="B21" s="2">
        <f t="shared" si="0"/>
        <v>111</v>
      </c>
      <c r="C21" s="2">
        <f t="shared" si="1"/>
        <v>154.5</v>
      </c>
    </row>
    <row r="22" spans="1:3" x14ac:dyDescent="0.2">
      <c r="A22" s="2">
        <v>11</v>
      </c>
      <c r="B22" s="2">
        <f t="shared" si="0"/>
        <v>113</v>
      </c>
      <c r="C22" s="2">
        <f t="shared" si="1"/>
        <v>156.05000000000001</v>
      </c>
    </row>
    <row r="23" spans="1:3" x14ac:dyDescent="0.2">
      <c r="A23" s="2">
        <v>12</v>
      </c>
      <c r="B23" s="2">
        <f t="shared" si="0"/>
        <v>115</v>
      </c>
      <c r="C23" s="2">
        <f t="shared" si="1"/>
        <v>157.6</v>
      </c>
    </row>
    <row r="24" spans="1:3" x14ac:dyDescent="0.2">
      <c r="A24" s="2">
        <v>13</v>
      </c>
      <c r="B24" s="2">
        <f t="shared" si="0"/>
        <v>117</v>
      </c>
      <c r="C24" s="2">
        <f t="shared" si="1"/>
        <v>159.15</v>
      </c>
    </row>
    <row r="25" spans="1:3" x14ac:dyDescent="0.2">
      <c r="A25" s="2">
        <v>14</v>
      </c>
      <c r="B25" s="2">
        <f t="shared" si="0"/>
        <v>119</v>
      </c>
      <c r="C25" s="2">
        <f t="shared" si="1"/>
        <v>160.69999999999999</v>
      </c>
    </row>
    <row r="26" spans="1:3" x14ac:dyDescent="0.2">
      <c r="A26" s="2">
        <v>15</v>
      </c>
      <c r="B26" s="2">
        <f t="shared" si="0"/>
        <v>121</v>
      </c>
      <c r="C26" s="2">
        <f t="shared" si="1"/>
        <v>162.25</v>
      </c>
    </row>
    <row r="27" spans="1:3" x14ac:dyDescent="0.2">
      <c r="A27" s="2">
        <v>16</v>
      </c>
      <c r="B27" s="2">
        <f t="shared" si="0"/>
        <v>123</v>
      </c>
      <c r="C27" s="2">
        <f t="shared" si="1"/>
        <v>163.80000000000001</v>
      </c>
    </row>
    <row r="28" spans="1:3" x14ac:dyDescent="0.2">
      <c r="A28" s="2">
        <v>17</v>
      </c>
      <c r="B28" s="2">
        <f t="shared" si="0"/>
        <v>125</v>
      </c>
      <c r="C28" s="2">
        <f t="shared" si="1"/>
        <v>165.35</v>
      </c>
    </row>
    <row r="29" spans="1:3" x14ac:dyDescent="0.2">
      <c r="A29" s="2">
        <v>18</v>
      </c>
      <c r="B29" s="2">
        <f t="shared" si="0"/>
        <v>127</v>
      </c>
      <c r="C29" s="2">
        <f t="shared" si="1"/>
        <v>166.9</v>
      </c>
    </row>
    <row r="30" spans="1:3" x14ac:dyDescent="0.2">
      <c r="A30" s="2">
        <v>19</v>
      </c>
      <c r="B30" s="2">
        <f t="shared" si="0"/>
        <v>129</v>
      </c>
      <c r="C30" s="2">
        <f t="shared" si="1"/>
        <v>168.45</v>
      </c>
    </row>
    <row r="31" spans="1:3" x14ac:dyDescent="0.2">
      <c r="A31" s="2">
        <v>20</v>
      </c>
      <c r="B31" s="2">
        <f t="shared" si="0"/>
        <v>131</v>
      </c>
      <c r="C31" s="2">
        <f t="shared" si="1"/>
        <v>170</v>
      </c>
    </row>
    <row r="32" spans="1:3" x14ac:dyDescent="0.2">
      <c r="A32" s="2">
        <v>21</v>
      </c>
      <c r="B32" s="2">
        <f t="shared" si="0"/>
        <v>133</v>
      </c>
      <c r="C32" s="2">
        <f t="shared" si="1"/>
        <v>171.55</v>
      </c>
    </row>
    <row r="33" spans="1:3" x14ac:dyDescent="0.2">
      <c r="A33" s="2">
        <v>22</v>
      </c>
      <c r="B33" s="2">
        <f t="shared" si="0"/>
        <v>135</v>
      </c>
      <c r="C33" s="2">
        <f t="shared" si="1"/>
        <v>173.1</v>
      </c>
    </row>
    <row r="34" spans="1:3" x14ac:dyDescent="0.2">
      <c r="A34" s="2">
        <v>23</v>
      </c>
      <c r="B34" s="2">
        <f t="shared" si="0"/>
        <v>137</v>
      </c>
      <c r="C34" s="2">
        <f t="shared" si="1"/>
        <v>174.65</v>
      </c>
    </row>
    <row r="35" spans="1:3" x14ac:dyDescent="0.2">
      <c r="A35" s="2">
        <v>24</v>
      </c>
      <c r="B35" s="2">
        <f t="shared" si="0"/>
        <v>139</v>
      </c>
      <c r="C35" s="2">
        <f t="shared" si="1"/>
        <v>176.2</v>
      </c>
    </row>
    <row r="36" spans="1:3" x14ac:dyDescent="0.2">
      <c r="A36" s="2">
        <v>25</v>
      </c>
      <c r="B36" s="2">
        <f t="shared" si="0"/>
        <v>141</v>
      </c>
      <c r="C36" s="2">
        <f t="shared" si="1"/>
        <v>177.75</v>
      </c>
    </row>
    <row r="37" spans="1:3" x14ac:dyDescent="0.2">
      <c r="A37" s="2">
        <v>26</v>
      </c>
      <c r="B37" s="2">
        <f t="shared" si="0"/>
        <v>143</v>
      </c>
      <c r="C37" s="2">
        <f t="shared" si="1"/>
        <v>179.3</v>
      </c>
    </row>
    <row r="38" spans="1:3" x14ac:dyDescent="0.2">
      <c r="A38" s="2">
        <v>27</v>
      </c>
      <c r="B38" s="2">
        <f t="shared" si="0"/>
        <v>145</v>
      </c>
      <c r="C38" s="2">
        <f t="shared" si="1"/>
        <v>180.85</v>
      </c>
    </row>
    <row r="39" spans="1:3" x14ac:dyDescent="0.2">
      <c r="A39" s="2">
        <v>28</v>
      </c>
      <c r="B39" s="2">
        <f t="shared" si="0"/>
        <v>147</v>
      </c>
      <c r="C39" s="2">
        <f t="shared" si="1"/>
        <v>182.4</v>
      </c>
    </row>
    <row r="40" spans="1:3" x14ac:dyDescent="0.2">
      <c r="A40" s="2">
        <v>29</v>
      </c>
      <c r="B40" s="2">
        <f t="shared" si="0"/>
        <v>149</v>
      </c>
      <c r="C40" s="2">
        <f t="shared" si="1"/>
        <v>183.95</v>
      </c>
    </row>
    <row r="41" spans="1:3" x14ac:dyDescent="0.2">
      <c r="A41" s="2">
        <v>30</v>
      </c>
      <c r="B41" s="2">
        <f t="shared" si="0"/>
        <v>151</v>
      </c>
      <c r="C41" s="2">
        <f t="shared" si="1"/>
        <v>185.5</v>
      </c>
    </row>
    <row r="42" spans="1:3" x14ac:dyDescent="0.2">
      <c r="A42" s="2">
        <v>31</v>
      </c>
      <c r="B42" s="2">
        <f t="shared" si="0"/>
        <v>153</v>
      </c>
      <c r="C42" s="2">
        <f t="shared" si="1"/>
        <v>187.05</v>
      </c>
    </row>
    <row r="43" spans="1:3" x14ac:dyDescent="0.2">
      <c r="A43" s="2">
        <v>32</v>
      </c>
      <c r="B43" s="2">
        <f t="shared" si="0"/>
        <v>155</v>
      </c>
      <c r="C43" s="2">
        <f t="shared" si="1"/>
        <v>188.6</v>
      </c>
    </row>
    <row r="44" spans="1:3" x14ac:dyDescent="0.2">
      <c r="A44" s="2">
        <v>33</v>
      </c>
      <c r="B44" s="2">
        <f t="shared" si="0"/>
        <v>157</v>
      </c>
      <c r="C44" s="2">
        <f t="shared" si="1"/>
        <v>190.15</v>
      </c>
    </row>
    <row r="45" spans="1:3" x14ac:dyDescent="0.2">
      <c r="A45" s="2">
        <v>34</v>
      </c>
      <c r="B45" s="2">
        <f t="shared" si="0"/>
        <v>159</v>
      </c>
      <c r="C45" s="2">
        <f t="shared" si="1"/>
        <v>191.7</v>
      </c>
    </row>
    <row r="46" spans="1:3" x14ac:dyDescent="0.2">
      <c r="A46" s="2">
        <v>35</v>
      </c>
      <c r="B46" s="2">
        <f t="shared" si="0"/>
        <v>161</v>
      </c>
      <c r="C46" s="2">
        <f t="shared" si="1"/>
        <v>193.25</v>
      </c>
    </row>
    <row r="47" spans="1:3" x14ac:dyDescent="0.2">
      <c r="A47" s="2">
        <v>36</v>
      </c>
      <c r="B47" s="2">
        <f t="shared" si="0"/>
        <v>163</v>
      </c>
      <c r="C47" s="2">
        <f t="shared" si="1"/>
        <v>194.8</v>
      </c>
    </row>
    <row r="48" spans="1:3" x14ac:dyDescent="0.2">
      <c r="A48" s="2">
        <v>37</v>
      </c>
      <c r="B48" s="2">
        <f t="shared" si="0"/>
        <v>165</v>
      </c>
      <c r="C48" s="2">
        <f t="shared" si="1"/>
        <v>196.35</v>
      </c>
    </row>
    <row r="49" spans="1:3" x14ac:dyDescent="0.2">
      <c r="A49" s="2">
        <v>38</v>
      </c>
      <c r="B49" s="2">
        <f t="shared" si="0"/>
        <v>167</v>
      </c>
      <c r="C49" s="2">
        <f t="shared" si="1"/>
        <v>197.9</v>
      </c>
    </row>
    <row r="50" spans="1:3" x14ac:dyDescent="0.2">
      <c r="A50" s="2">
        <v>39</v>
      </c>
      <c r="B50" s="2">
        <f t="shared" si="0"/>
        <v>169</v>
      </c>
      <c r="C50" s="2">
        <f t="shared" si="1"/>
        <v>199.45</v>
      </c>
    </row>
    <row r="51" spans="1:3" x14ac:dyDescent="0.2">
      <c r="A51" s="2">
        <v>40</v>
      </c>
      <c r="B51" s="2">
        <f t="shared" si="0"/>
        <v>171</v>
      </c>
      <c r="C51" s="2">
        <f t="shared" si="1"/>
        <v>201</v>
      </c>
    </row>
    <row r="52" spans="1:3" x14ac:dyDescent="0.2">
      <c r="A52" s="2">
        <v>41</v>
      </c>
      <c r="B52" s="2">
        <f t="shared" si="0"/>
        <v>173</v>
      </c>
      <c r="C52" s="2">
        <f t="shared" si="1"/>
        <v>202.55</v>
      </c>
    </row>
    <row r="53" spans="1:3" x14ac:dyDescent="0.2">
      <c r="A53" s="2">
        <v>42</v>
      </c>
      <c r="B53" s="2">
        <f t="shared" si="0"/>
        <v>175</v>
      </c>
      <c r="C53" s="2">
        <f t="shared" si="1"/>
        <v>204.10000000000002</v>
      </c>
    </row>
    <row r="54" spans="1:3" x14ac:dyDescent="0.2">
      <c r="A54" s="2">
        <v>43</v>
      </c>
      <c r="B54" s="2">
        <f t="shared" si="0"/>
        <v>177</v>
      </c>
      <c r="C54" s="2">
        <f t="shared" si="1"/>
        <v>205.65</v>
      </c>
    </row>
    <row r="55" spans="1:3" x14ac:dyDescent="0.2">
      <c r="A55" s="2">
        <v>44</v>
      </c>
      <c r="B55" s="2">
        <f t="shared" si="0"/>
        <v>179</v>
      </c>
      <c r="C55" s="2">
        <f t="shared" si="1"/>
        <v>207.2</v>
      </c>
    </row>
    <row r="56" spans="1:3" x14ac:dyDescent="0.2">
      <c r="A56" s="2">
        <v>45</v>
      </c>
      <c r="B56" s="2">
        <f t="shared" si="0"/>
        <v>181</v>
      </c>
      <c r="C56" s="2">
        <f t="shared" si="1"/>
        <v>208.75</v>
      </c>
    </row>
    <row r="57" spans="1:3" x14ac:dyDescent="0.2">
      <c r="A57" s="2">
        <v>46</v>
      </c>
      <c r="B57" s="2">
        <f t="shared" si="0"/>
        <v>183</v>
      </c>
      <c r="C57" s="2">
        <f t="shared" si="1"/>
        <v>210.3</v>
      </c>
    </row>
    <row r="58" spans="1:3" x14ac:dyDescent="0.2">
      <c r="A58" s="2">
        <v>47</v>
      </c>
      <c r="B58" s="2">
        <f t="shared" si="0"/>
        <v>185</v>
      </c>
      <c r="C58" s="2">
        <f t="shared" si="1"/>
        <v>211.85000000000002</v>
      </c>
    </row>
    <row r="59" spans="1:3" x14ac:dyDescent="0.2">
      <c r="A59" s="2">
        <v>48</v>
      </c>
      <c r="B59" s="2">
        <f t="shared" si="0"/>
        <v>187</v>
      </c>
      <c r="C59" s="2">
        <f t="shared" si="1"/>
        <v>213.4</v>
      </c>
    </row>
    <row r="60" spans="1:3" x14ac:dyDescent="0.2">
      <c r="A60" s="2">
        <v>49</v>
      </c>
      <c r="B60" s="2">
        <f t="shared" si="0"/>
        <v>189</v>
      </c>
      <c r="C60" s="2">
        <f t="shared" si="1"/>
        <v>214.95</v>
      </c>
    </row>
    <row r="61" spans="1:3" x14ac:dyDescent="0.2">
      <c r="A61" s="2">
        <v>50</v>
      </c>
      <c r="B61" s="2">
        <f t="shared" si="0"/>
        <v>191</v>
      </c>
      <c r="C61" s="2">
        <f t="shared" si="1"/>
        <v>216.5</v>
      </c>
    </row>
    <row r="62" spans="1:3" x14ac:dyDescent="0.2">
      <c r="A62" s="2">
        <v>51</v>
      </c>
      <c r="B62" s="2">
        <f t="shared" si="0"/>
        <v>193</v>
      </c>
      <c r="C62" s="2">
        <f t="shared" si="1"/>
        <v>218.05</v>
      </c>
    </row>
    <row r="63" spans="1:3" x14ac:dyDescent="0.2">
      <c r="A63" s="2">
        <v>52</v>
      </c>
      <c r="B63" s="2">
        <f t="shared" si="0"/>
        <v>195</v>
      </c>
      <c r="C63" s="2">
        <f t="shared" si="1"/>
        <v>219.60000000000002</v>
      </c>
    </row>
    <row r="64" spans="1:3" x14ac:dyDescent="0.2">
      <c r="A64" s="2">
        <v>53</v>
      </c>
      <c r="B64" s="2">
        <f t="shared" si="0"/>
        <v>197</v>
      </c>
      <c r="C64" s="2">
        <f t="shared" si="1"/>
        <v>221.15</v>
      </c>
    </row>
    <row r="65" spans="1:3" x14ac:dyDescent="0.2">
      <c r="A65" s="2">
        <v>54</v>
      </c>
      <c r="B65" s="2">
        <f t="shared" si="0"/>
        <v>199</v>
      </c>
      <c r="C65" s="2">
        <f t="shared" si="1"/>
        <v>222.7</v>
      </c>
    </row>
    <row r="66" spans="1:3" x14ac:dyDescent="0.2">
      <c r="A66" s="2">
        <v>55</v>
      </c>
      <c r="B66" s="2">
        <f t="shared" si="0"/>
        <v>201</v>
      </c>
      <c r="C66" s="2">
        <f t="shared" si="1"/>
        <v>224.25</v>
      </c>
    </row>
    <row r="67" spans="1:3" x14ac:dyDescent="0.2">
      <c r="A67" s="2">
        <v>56</v>
      </c>
      <c r="B67" s="2">
        <f t="shared" si="0"/>
        <v>203</v>
      </c>
      <c r="C67" s="2">
        <f t="shared" si="1"/>
        <v>225.8</v>
      </c>
    </row>
    <row r="68" spans="1:3" x14ac:dyDescent="0.2">
      <c r="A68" s="2">
        <v>57</v>
      </c>
      <c r="B68" s="2">
        <f t="shared" si="0"/>
        <v>205</v>
      </c>
      <c r="C68" s="2">
        <f t="shared" si="1"/>
        <v>227.35000000000002</v>
      </c>
    </row>
    <row r="69" spans="1:3" x14ac:dyDescent="0.2">
      <c r="A69" s="2">
        <v>58</v>
      </c>
      <c r="B69" s="2">
        <f t="shared" si="0"/>
        <v>207</v>
      </c>
      <c r="C69" s="2">
        <f t="shared" si="1"/>
        <v>228.9</v>
      </c>
    </row>
    <row r="70" spans="1:3" x14ac:dyDescent="0.2">
      <c r="A70" s="2">
        <v>59</v>
      </c>
      <c r="B70" s="2">
        <f t="shared" si="0"/>
        <v>209</v>
      </c>
      <c r="C70" s="2">
        <f t="shared" si="1"/>
        <v>230.45</v>
      </c>
    </row>
    <row r="71" spans="1:3" x14ac:dyDescent="0.2">
      <c r="A71" s="2">
        <v>60</v>
      </c>
      <c r="B71" s="2">
        <f t="shared" si="0"/>
        <v>211</v>
      </c>
      <c r="C71" s="2">
        <f t="shared" si="1"/>
        <v>232</v>
      </c>
    </row>
    <row r="72" spans="1:3" x14ac:dyDescent="0.2">
      <c r="A72" s="2">
        <v>61</v>
      </c>
      <c r="B72" s="2">
        <f t="shared" si="0"/>
        <v>213</v>
      </c>
      <c r="C72" s="2">
        <f t="shared" si="1"/>
        <v>233.55</v>
      </c>
    </row>
    <row r="73" spans="1:3" x14ac:dyDescent="0.2">
      <c r="A73" s="2">
        <v>62</v>
      </c>
      <c r="B73" s="2">
        <f t="shared" si="0"/>
        <v>215</v>
      </c>
      <c r="C73" s="2">
        <f t="shared" si="1"/>
        <v>235.10000000000002</v>
      </c>
    </row>
    <row r="74" spans="1:3" x14ac:dyDescent="0.2">
      <c r="A74" s="2">
        <v>63</v>
      </c>
      <c r="B74" s="2">
        <f t="shared" si="0"/>
        <v>217</v>
      </c>
      <c r="C74" s="2">
        <f t="shared" si="1"/>
        <v>236.65</v>
      </c>
    </row>
    <row r="75" spans="1:3" x14ac:dyDescent="0.2">
      <c r="A75" s="2">
        <v>64</v>
      </c>
      <c r="B75" s="2">
        <f t="shared" si="0"/>
        <v>219</v>
      </c>
      <c r="C75" s="2">
        <f t="shared" si="1"/>
        <v>238.2</v>
      </c>
    </row>
    <row r="76" spans="1:3" x14ac:dyDescent="0.2">
      <c r="A76" s="2">
        <v>65</v>
      </c>
      <c r="B76" s="2">
        <f t="shared" si="0"/>
        <v>221</v>
      </c>
      <c r="C76" s="2">
        <f t="shared" si="1"/>
        <v>239.75</v>
      </c>
    </row>
    <row r="77" spans="1:3" x14ac:dyDescent="0.2">
      <c r="A77" s="2">
        <v>66</v>
      </c>
      <c r="B77" s="2">
        <f t="shared" ref="B77:B140" si="2">$B$11+A77*$B$3</f>
        <v>223</v>
      </c>
      <c r="C77" s="2">
        <f t="shared" ref="C77:C140" si="3">$C$11+$A77*$C$3</f>
        <v>241.3</v>
      </c>
    </row>
    <row r="78" spans="1:3" x14ac:dyDescent="0.2">
      <c r="A78" s="2">
        <v>67</v>
      </c>
      <c r="B78" s="2">
        <f t="shared" si="2"/>
        <v>225</v>
      </c>
      <c r="C78" s="2">
        <f t="shared" si="3"/>
        <v>242.85000000000002</v>
      </c>
    </row>
    <row r="79" spans="1:3" x14ac:dyDescent="0.2">
      <c r="A79" s="2">
        <v>68</v>
      </c>
      <c r="B79" s="2">
        <f t="shared" si="2"/>
        <v>227</v>
      </c>
      <c r="C79" s="2">
        <f t="shared" si="3"/>
        <v>244.4</v>
      </c>
    </row>
    <row r="80" spans="1:3" x14ac:dyDescent="0.2">
      <c r="A80" s="2">
        <v>69</v>
      </c>
      <c r="B80" s="2">
        <f t="shared" si="2"/>
        <v>229</v>
      </c>
      <c r="C80" s="2">
        <f t="shared" si="3"/>
        <v>245.95</v>
      </c>
    </row>
    <row r="81" spans="1:3" x14ac:dyDescent="0.2">
      <c r="A81" s="2">
        <v>70</v>
      </c>
      <c r="B81" s="2">
        <f t="shared" si="2"/>
        <v>231</v>
      </c>
      <c r="C81" s="2">
        <f t="shared" si="3"/>
        <v>247.5</v>
      </c>
    </row>
    <row r="82" spans="1:3" x14ac:dyDescent="0.2">
      <c r="A82" s="2">
        <v>71</v>
      </c>
      <c r="B82" s="2">
        <f t="shared" si="2"/>
        <v>233</v>
      </c>
      <c r="C82" s="2">
        <f t="shared" si="3"/>
        <v>249.05</v>
      </c>
    </row>
    <row r="83" spans="1:3" x14ac:dyDescent="0.2">
      <c r="A83" s="2">
        <v>72</v>
      </c>
      <c r="B83" s="2">
        <f t="shared" si="2"/>
        <v>235</v>
      </c>
      <c r="C83" s="2">
        <f t="shared" si="3"/>
        <v>250.60000000000002</v>
      </c>
    </row>
    <row r="84" spans="1:3" x14ac:dyDescent="0.2">
      <c r="A84" s="2">
        <v>73</v>
      </c>
      <c r="B84" s="2">
        <f t="shared" si="2"/>
        <v>237</v>
      </c>
      <c r="C84" s="2">
        <f t="shared" si="3"/>
        <v>252.15</v>
      </c>
    </row>
    <row r="85" spans="1:3" x14ac:dyDescent="0.2">
      <c r="A85" s="2">
        <v>74</v>
      </c>
      <c r="B85" s="2">
        <f t="shared" si="2"/>
        <v>239</v>
      </c>
      <c r="C85" s="2">
        <f t="shared" si="3"/>
        <v>253.7</v>
      </c>
    </row>
    <row r="86" spans="1:3" x14ac:dyDescent="0.2">
      <c r="A86" s="2">
        <v>75</v>
      </c>
      <c r="B86" s="2">
        <f t="shared" si="2"/>
        <v>241</v>
      </c>
      <c r="C86" s="2">
        <f t="shared" si="3"/>
        <v>255.25</v>
      </c>
    </row>
    <row r="87" spans="1:3" x14ac:dyDescent="0.2">
      <c r="A87" s="2">
        <v>76</v>
      </c>
      <c r="B87" s="2">
        <f t="shared" si="2"/>
        <v>243</v>
      </c>
      <c r="C87" s="2">
        <f t="shared" si="3"/>
        <v>256.8</v>
      </c>
    </row>
    <row r="88" spans="1:3" x14ac:dyDescent="0.2">
      <c r="A88" s="2">
        <v>77</v>
      </c>
      <c r="B88" s="2">
        <f t="shared" si="2"/>
        <v>245</v>
      </c>
      <c r="C88" s="2">
        <f t="shared" si="3"/>
        <v>258.35000000000002</v>
      </c>
    </row>
    <row r="89" spans="1:3" x14ac:dyDescent="0.2">
      <c r="A89" s="2">
        <v>78</v>
      </c>
      <c r="B89" s="2">
        <f t="shared" si="2"/>
        <v>247</v>
      </c>
      <c r="C89" s="2">
        <f t="shared" si="3"/>
        <v>259.89999999999998</v>
      </c>
    </row>
    <row r="90" spans="1:3" x14ac:dyDescent="0.2">
      <c r="A90" s="2">
        <v>79</v>
      </c>
      <c r="B90" s="2">
        <f t="shared" si="2"/>
        <v>249</v>
      </c>
      <c r="C90" s="2">
        <f t="shared" si="3"/>
        <v>261.45</v>
      </c>
    </row>
    <row r="91" spans="1:3" x14ac:dyDescent="0.2">
      <c r="A91" s="2">
        <v>80</v>
      </c>
      <c r="B91" s="2">
        <f t="shared" si="2"/>
        <v>251</v>
      </c>
      <c r="C91" s="2">
        <f t="shared" si="3"/>
        <v>263</v>
      </c>
    </row>
    <row r="92" spans="1:3" x14ac:dyDescent="0.2">
      <c r="A92" s="2">
        <v>81</v>
      </c>
      <c r="B92" s="2">
        <f t="shared" si="2"/>
        <v>253</v>
      </c>
      <c r="C92" s="2">
        <f t="shared" si="3"/>
        <v>264.55</v>
      </c>
    </row>
    <row r="93" spans="1:3" x14ac:dyDescent="0.2">
      <c r="A93" s="2">
        <v>82</v>
      </c>
      <c r="B93" s="2">
        <f t="shared" si="2"/>
        <v>255</v>
      </c>
      <c r="C93" s="2">
        <f t="shared" si="3"/>
        <v>266.10000000000002</v>
      </c>
    </row>
    <row r="94" spans="1:3" x14ac:dyDescent="0.2">
      <c r="A94" s="2">
        <v>83</v>
      </c>
      <c r="B94" s="2">
        <f t="shared" si="2"/>
        <v>257</v>
      </c>
      <c r="C94" s="2">
        <f t="shared" si="3"/>
        <v>267.64999999999998</v>
      </c>
    </row>
    <row r="95" spans="1:3" x14ac:dyDescent="0.2">
      <c r="A95" s="2">
        <v>84</v>
      </c>
      <c r="B95" s="2">
        <f t="shared" si="2"/>
        <v>259</v>
      </c>
      <c r="C95" s="2">
        <f t="shared" si="3"/>
        <v>269.20000000000005</v>
      </c>
    </row>
    <row r="96" spans="1:3" x14ac:dyDescent="0.2">
      <c r="A96" s="2">
        <v>85</v>
      </c>
      <c r="B96" s="2">
        <f t="shared" si="2"/>
        <v>261</v>
      </c>
      <c r="C96" s="2">
        <f t="shared" si="3"/>
        <v>270.75</v>
      </c>
    </row>
    <row r="97" spans="1:3" x14ac:dyDescent="0.2">
      <c r="A97" s="2">
        <v>86</v>
      </c>
      <c r="B97" s="2">
        <f t="shared" si="2"/>
        <v>263</v>
      </c>
      <c r="C97" s="2">
        <f t="shared" si="3"/>
        <v>272.3</v>
      </c>
    </row>
    <row r="98" spans="1:3" x14ac:dyDescent="0.2">
      <c r="A98" s="2">
        <v>87</v>
      </c>
      <c r="B98" s="2">
        <f t="shared" si="2"/>
        <v>265</v>
      </c>
      <c r="C98" s="2">
        <f t="shared" si="3"/>
        <v>273.85000000000002</v>
      </c>
    </row>
    <row r="99" spans="1:3" x14ac:dyDescent="0.2">
      <c r="A99" s="2">
        <v>88</v>
      </c>
      <c r="B99" s="2">
        <f t="shared" si="2"/>
        <v>267</v>
      </c>
      <c r="C99" s="2">
        <f t="shared" si="3"/>
        <v>275.39999999999998</v>
      </c>
    </row>
    <row r="100" spans="1:3" x14ac:dyDescent="0.2">
      <c r="A100" s="2">
        <v>89</v>
      </c>
      <c r="B100" s="2">
        <f t="shared" si="2"/>
        <v>269</v>
      </c>
      <c r="C100" s="2">
        <f t="shared" si="3"/>
        <v>276.95000000000005</v>
      </c>
    </row>
    <row r="101" spans="1:3" x14ac:dyDescent="0.2">
      <c r="A101" s="2">
        <v>90</v>
      </c>
      <c r="B101" s="2">
        <f t="shared" si="2"/>
        <v>271</v>
      </c>
      <c r="C101" s="2">
        <f t="shared" si="3"/>
        <v>278.5</v>
      </c>
    </row>
    <row r="102" spans="1:3" x14ac:dyDescent="0.2">
      <c r="A102" s="2">
        <v>91</v>
      </c>
      <c r="B102" s="2">
        <f t="shared" si="2"/>
        <v>273</v>
      </c>
      <c r="C102" s="2">
        <f t="shared" si="3"/>
        <v>280.05</v>
      </c>
    </row>
    <row r="103" spans="1:3" x14ac:dyDescent="0.2">
      <c r="A103" s="2">
        <v>92</v>
      </c>
      <c r="B103" s="2">
        <f t="shared" si="2"/>
        <v>275</v>
      </c>
      <c r="C103" s="2">
        <f t="shared" si="3"/>
        <v>281.60000000000002</v>
      </c>
    </row>
    <row r="104" spans="1:3" x14ac:dyDescent="0.2">
      <c r="A104" s="2">
        <v>93</v>
      </c>
      <c r="B104" s="2">
        <f t="shared" si="2"/>
        <v>277</v>
      </c>
      <c r="C104" s="2">
        <f t="shared" si="3"/>
        <v>283.14999999999998</v>
      </c>
    </row>
    <row r="105" spans="1:3" x14ac:dyDescent="0.2">
      <c r="A105" s="2">
        <v>94</v>
      </c>
      <c r="B105" s="2">
        <f t="shared" si="2"/>
        <v>279</v>
      </c>
      <c r="C105" s="2">
        <f t="shared" si="3"/>
        <v>284.70000000000005</v>
      </c>
    </row>
    <row r="106" spans="1:3" x14ac:dyDescent="0.2">
      <c r="A106" s="2">
        <v>95</v>
      </c>
      <c r="B106" s="2">
        <f t="shared" si="2"/>
        <v>281</v>
      </c>
      <c r="C106" s="2">
        <f t="shared" si="3"/>
        <v>286.25</v>
      </c>
    </row>
    <row r="107" spans="1:3" x14ac:dyDescent="0.2">
      <c r="A107" s="2">
        <v>96</v>
      </c>
      <c r="B107" s="2">
        <f t="shared" si="2"/>
        <v>283</v>
      </c>
      <c r="C107" s="2">
        <f t="shared" si="3"/>
        <v>287.8</v>
      </c>
    </row>
    <row r="108" spans="1:3" x14ac:dyDescent="0.2">
      <c r="A108" s="2">
        <v>97</v>
      </c>
      <c r="B108" s="2">
        <f t="shared" si="2"/>
        <v>285</v>
      </c>
      <c r="C108" s="2">
        <f t="shared" si="3"/>
        <v>289.35000000000002</v>
      </c>
    </row>
    <row r="109" spans="1:3" x14ac:dyDescent="0.2">
      <c r="A109" s="2">
        <v>98</v>
      </c>
      <c r="B109" s="2">
        <f t="shared" si="2"/>
        <v>287</v>
      </c>
      <c r="C109" s="2">
        <f t="shared" si="3"/>
        <v>290.89999999999998</v>
      </c>
    </row>
    <row r="110" spans="1:3" x14ac:dyDescent="0.2">
      <c r="A110" s="2">
        <v>99</v>
      </c>
      <c r="B110" s="2">
        <f t="shared" si="2"/>
        <v>289</v>
      </c>
      <c r="C110" s="2">
        <f t="shared" si="3"/>
        <v>292.45000000000005</v>
      </c>
    </row>
    <row r="111" spans="1:3" x14ac:dyDescent="0.2">
      <c r="A111" s="2">
        <v>100</v>
      </c>
      <c r="B111" s="2">
        <f t="shared" si="2"/>
        <v>291</v>
      </c>
      <c r="C111" s="2">
        <f t="shared" si="3"/>
        <v>294</v>
      </c>
    </row>
    <row r="112" spans="1:3" x14ac:dyDescent="0.2">
      <c r="A112" s="2">
        <v>101</v>
      </c>
      <c r="B112" s="2">
        <f t="shared" si="2"/>
        <v>293</v>
      </c>
      <c r="C112" s="2">
        <f t="shared" si="3"/>
        <v>295.55</v>
      </c>
    </row>
    <row r="113" spans="1:3" x14ac:dyDescent="0.2">
      <c r="A113" s="2">
        <v>102</v>
      </c>
      <c r="B113" s="2">
        <f t="shared" si="2"/>
        <v>295</v>
      </c>
      <c r="C113" s="2">
        <f t="shared" si="3"/>
        <v>297.10000000000002</v>
      </c>
    </row>
    <row r="114" spans="1:3" x14ac:dyDescent="0.2">
      <c r="A114" s="2">
        <v>103</v>
      </c>
      <c r="B114" s="2">
        <f t="shared" si="2"/>
        <v>297</v>
      </c>
      <c r="C114" s="2">
        <f t="shared" si="3"/>
        <v>298.64999999999998</v>
      </c>
    </row>
    <row r="115" spans="1:3" x14ac:dyDescent="0.2">
      <c r="A115" s="2">
        <v>104</v>
      </c>
      <c r="B115" s="2">
        <f t="shared" si="2"/>
        <v>299</v>
      </c>
      <c r="C115" s="2">
        <f t="shared" si="3"/>
        <v>300.20000000000005</v>
      </c>
    </row>
    <row r="116" spans="1:3" x14ac:dyDescent="0.2">
      <c r="A116" s="2">
        <v>105</v>
      </c>
      <c r="B116" s="2">
        <f t="shared" si="2"/>
        <v>301</v>
      </c>
      <c r="C116" s="2">
        <f t="shared" si="3"/>
        <v>301.75</v>
      </c>
    </row>
    <row r="117" spans="1:3" x14ac:dyDescent="0.2">
      <c r="A117" s="2">
        <v>106</v>
      </c>
      <c r="B117" s="2">
        <f t="shared" si="2"/>
        <v>303</v>
      </c>
      <c r="C117" s="2">
        <f t="shared" si="3"/>
        <v>303.3</v>
      </c>
    </row>
    <row r="118" spans="1:3" x14ac:dyDescent="0.2">
      <c r="A118" s="2">
        <v>107</v>
      </c>
      <c r="B118" s="2">
        <f t="shared" si="2"/>
        <v>305</v>
      </c>
      <c r="C118" s="2">
        <f t="shared" si="3"/>
        <v>304.85000000000002</v>
      </c>
    </row>
    <row r="119" spans="1:3" x14ac:dyDescent="0.2">
      <c r="A119" s="2">
        <v>108</v>
      </c>
      <c r="B119" s="2">
        <f t="shared" si="2"/>
        <v>307</v>
      </c>
      <c r="C119" s="2">
        <f t="shared" si="3"/>
        <v>306.39999999999998</v>
      </c>
    </row>
    <row r="120" spans="1:3" x14ac:dyDescent="0.2">
      <c r="A120" s="2">
        <v>109</v>
      </c>
      <c r="B120" s="2">
        <f t="shared" si="2"/>
        <v>309</v>
      </c>
      <c r="C120" s="2">
        <f t="shared" si="3"/>
        <v>307.95000000000005</v>
      </c>
    </row>
    <row r="121" spans="1:3" x14ac:dyDescent="0.2">
      <c r="A121" s="2">
        <v>110</v>
      </c>
      <c r="B121" s="2">
        <f t="shared" si="2"/>
        <v>311</v>
      </c>
      <c r="C121" s="2">
        <f t="shared" si="3"/>
        <v>309.5</v>
      </c>
    </row>
    <row r="122" spans="1:3" x14ac:dyDescent="0.2">
      <c r="A122" s="2">
        <v>111</v>
      </c>
      <c r="B122" s="2">
        <f t="shared" si="2"/>
        <v>313</v>
      </c>
      <c r="C122" s="2">
        <f t="shared" si="3"/>
        <v>311.05</v>
      </c>
    </row>
    <row r="123" spans="1:3" x14ac:dyDescent="0.2">
      <c r="A123" s="2">
        <v>112</v>
      </c>
      <c r="B123" s="2">
        <f t="shared" si="2"/>
        <v>315</v>
      </c>
      <c r="C123" s="2">
        <f t="shared" si="3"/>
        <v>312.60000000000002</v>
      </c>
    </row>
    <row r="124" spans="1:3" x14ac:dyDescent="0.2">
      <c r="A124" s="2">
        <v>113</v>
      </c>
      <c r="B124" s="2">
        <f t="shared" si="2"/>
        <v>317</v>
      </c>
      <c r="C124" s="2">
        <f t="shared" si="3"/>
        <v>314.14999999999998</v>
      </c>
    </row>
    <row r="125" spans="1:3" x14ac:dyDescent="0.2">
      <c r="A125" s="2">
        <v>114</v>
      </c>
      <c r="B125" s="2">
        <f t="shared" si="2"/>
        <v>319</v>
      </c>
      <c r="C125" s="2">
        <f t="shared" si="3"/>
        <v>315.70000000000005</v>
      </c>
    </row>
    <row r="126" spans="1:3" x14ac:dyDescent="0.2">
      <c r="A126" s="2">
        <v>115</v>
      </c>
      <c r="B126" s="2">
        <f t="shared" si="2"/>
        <v>321</v>
      </c>
      <c r="C126" s="2">
        <f t="shared" si="3"/>
        <v>317.25</v>
      </c>
    </row>
    <row r="127" spans="1:3" x14ac:dyDescent="0.2">
      <c r="A127" s="2">
        <v>116</v>
      </c>
      <c r="B127" s="2">
        <f t="shared" si="2"/>
        <v>323</v>
      </c>
      <c r="C127" s="2">
        <f t="shared" si="3"/>
        <v>318.8</v>
      </c>
    </row>
    <row r="128" spans="1:3" x14ac:dyDescent="0.2">
      <c r="A128" s="2">
        <v>117</v>
      </c>
      <c r="B128" s="2">
        <f t="shared" si="2"/>
        <v>325</v>
      </c>
      <c r="C128" s="2">
        <f t="shared" si="3"/>
        <v>320.35000000000002</v>
      </c>
    </row>
    <row r="129" spans="1:3" x14ac:dyDescent="0.2">
      <c r="A129" s="2">
        <v>118</v>
      </c>
      <c r="B129" s="2">
        <f t="shared" si="2"/>
        <v>327</v>
      </c>
      <c r="C129" s="2">
        <f t="shared" si="3"/>
        <v>321.89999999999998</v>
      </c>
    </row>
    <row r="130" spans="1:3" x14ac:dyDescent="0.2">
      <c r="A130" s="2">
        <v>119</v>
      </c>
      <c r="B130" s="2">
        <f t="shared" si="2"/>
        <v>329</v>
      </c>
      <c r="C130" s="2">
        <f t="shared" si="3"/>
        <v>323.45000000000005</v>
      </c>
    </row>
    <row r="131" spans="1:3" x14ac:dyDescent="0.2">
      <c r="A131" s="2">
        <v>120</v>
      </c>
      <c r="B131" s="2">
        <f t="shared" si="2"/>
        <v>331</v>
      </c>
      <c r="C131" s="2">
        <f t="shared" si="3"/>
        <v>325</v>
      </c>
    </row>
    <row r="132" spans="1:3" x14ac:dyDescent="0.2">
      <c r="A132" s="2">
        <v>121</v>
      </c>
      <c r="B132" s="2">
        <f t="shared" si="2"/>
        <v>333</v>
      </c>
      <c r="C132" s="2">
        <f t="shared" si="3"/>
        <v>326.55</v>
      </c>
    </row>
    <row r="133" spans="1:3" x14ac:dyDescent="0.2">
      <c r="A133" s="2">
        <v>122</v>
      </c>
      <c r="B133" s="2">
        <f t="shared" si="2"/>
        <v>335</v>
      </c>
      <c r="C133" s="2">
        <f t="shared" si="3"/>
        <v>328.1</v>
      </c>
    </row>
    <row r="134" spans="1:3" x14ac:dyDescent="0.2">
      <c r="A134" s="2">
        <v>123</v>
      </c>
      <c r="B134" s="2">
        <f t="shared" si="2"/>
        <v>337</v>
      </c>
      <c r="C134" s="2">
        <f t="shared" si="3"/>
        <v>329.65</v>
      </c>
    </row>
    <row r="135" spans="1:3" x14ac:dyDescent="0.2">
      <c r="A135" s="2">
        <v>124</v>
      </c>
      <c r="B135" s="2">
        <f t="shared" si="2"/>
        <v>339</v>
      </c>
      <c r="C135" s="2">
        <f t="shared" si="3"/>
        <v>331.20000000000005</v>
      </c>
    </row>
    <row r="136" spans="1:3" x14ac:dyDescent="0.2">
      <c r="A136" s="2">
        <v>125</v>
      </c>
      <c r="B136" s="2">
        <f t="shared" si="2"/>
        <v>341</v>
      </c>
      <c r="C136" s="2">
        <f t="shared" si="3"/>
        <v>332.75</v>
      </c>
    </row>
    <row r="137" spans="1:3" x14ac:dyDescent="0.2">
      <c r="A137" s="2">
        <v>126</v>
      </c>
      <c r="B137" s="2">
        <f t="shared" si="2"/>
        <v>343</v>
      </c>
      <c r="C137" s="2">
        <f t="shared" si="3"/>
        <v>334.3</v>
      </c>
    </row>
    <row r="138" spans="1:3" x14ac:dyDescent="0.2">
      <c r="A138" s="2">
        <v>127</v>
      </c>
      <c r="B138" s="2">
        <f t="shared" si="2"/>
        <v>345</v>
      </c>
      <c r="C138" s="2">
        <f t="shared" si="3"/>
        <v>335.85</v>
      </c>
    </row>
    <row r="139" spans="1:3" x14ac:dyDescent="0.2">
      <c r="A139" s="2">
        <v>128</v>
      </c>
      <c r="B139" s="2">
        <f t="shared" si="2"/>
        <v>347</v>
      </c>
      <c r="C139" s="2">
        <f t="shared" si="3"/>
        <v>337.4</v>
      </c>
    </row>
    <row r="140" spans="1:3" x14ac:dyDescent="0.2">
      <c r="A140" s="2">
        <v>129</v>
      </c>
      <c r="B140" s="2">
        <f t="shared" si="2"/>
        <v>349</v>
      </c>
      <c r="C140" s="2">
        <f t="shared" si="3"/>
        <v>338.95000000000005</v>
      </c>
    </row>
    <row r="141" spans="1:3" x14ac:dyDescent="0.2">
      <c r="A141" s="2">
        <v>130</v>
      </c>
      <c r="B141" s="2">
        <f t="shared" ref="B141:B149" si="4">$B$11+A141*$B$3</f>
        <v>351</v>
      </c>
      <c r="C141" s="2">
        <f t="shared" ref="C141:C149" si="5">$C$11+$A141*$C$3</f>
        <v>340.5</v>
      </c>
    </row>
    <row r="142" spans="1:3" x14ac:dyDescent="0.2">
      <c r="A142" s="2">
        <v>131</v>
      </c>
      <c r="B142" s="2">
        <f t="shared" si="4"/>
        <v>353</v>
      </c>
      <c r="C142" s="2">
        <f t="shared" si="5"/>
        <v>342.05</v>
      </c>
    </row>
    <row r="143" spans="1:3" x14ac:dyDescent="0.2">
      <c r="A143" s="2">
        <v>132</v>
      </c>
      <c r="B143" s="2">
        <f t="shared" si="4"/>
        <v>355</v>
      </c>
      <c r="C143" s="2">
        <f t="shared" si="5"/>
        <v>343.6</v>
      </c>
    </row>
    <row r="144" spans="1:3" x14ac:dyDescent="0.2">
      <c r="A144" s="2">
        <v>133</v>
      </c>
      <c r="B144" s="2">
        <f t="shared" si="4"/>
        <v>357</v>
      </c>
      <c r="C144" s="2">
        <f t="shared" si="5"/>
        <v>345.15</v>
      </c>
    </row>
    <row r="145" spans="1:3" x14ac:dyDescent="0.2">
      <c r="A145" s="2">
        <v>134</v>
      </c>
      <c r="B145" s="2">
        <f t="shared" si="4"/>
        <v>359</v>
      </c>
      <c r="C145" s="2">
        <f t="shared" si="5"/>
        <v>346.70000000000005</v>
      </c>
    </row>
    <row r="146" spans="1:3" x14ac:dyDescent="0.2">
      <c r="A146" s="2">
        <v>135</v>
      </c>
      <c r="B146" s="2">
        <f t="shared" si="4"/>
        <v>361</v>
      </c>
      <c r="C146" s="2">
        <f t="shared" si="5"/>
        <v>348.25</v>
      </c>
    </row>
    <row r="147" spans="1:3" x14ac:dyDescent="0.2">
      <c r="A147" s="2">
        <v>136</v>
      </c>
      <c r="B147" s="2">
        <f t="shared" si="4"/>
        <v>363</v>
      </c>
      <c r="C147" s="2">
        <f t="shared" si="5"/>
        <v>349.8</v>
      </c>
    </row>
    <row r="148" spans="1:3" x14ac:dyDescent="0.2">
      <c r="A148" s="2">
        <v>137</v>
      </c>
      <c r="B148" s="2">
        <f t="shared" si="4"/>
        <v>365</v>
      </c>
      <c r="C148" s="2">
        <f t="shared" si="5"/>
        <v>351.35</v>
      </c>
    </row>
    <row r="149" spans="1:3" x14ac:dyDescent="0.2">
      <c r="A149" s="2">
        <v>138</v>
      </c>
      <c r="B149" s="2">
        <f t="shared" si="4"/>
        <v>367</v>
      </c>
      <c r="C149" s="2">
        <f t="shared" si="5"/>
        <v>352.9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Taste Test</vt:lpstr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Verma, Vibhu</cp:lastModifiedBy>
  <dcterms:modified xsi:type="dcterms:W3CDTF">2021-05-14T01:06:16Z</dcterms:modified>
</cp:coreProperties>
</file>